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Cover" sheetId="1" state="visible" r:id="rId3"/>
    <sheet name="📺 Dashboard" sheetId="2" state="visible" r:id="rId4"/>
    <sheet name="📋 Instructions" sheetId="3" state="visible" r:id="rId5"/>
    <sheet name="✅ Tasks" sheetId="4" state="visible" r:id="rId6"/>
    <sheet name="📥 Raw_Data" sheetId="5" state="visible" r:id="rId7"/>
    <sheet name="🧹 Clean_Data" sheetId="6" state="visible" r:id="rId8"/>
    <sheet name="📊 Pivots" sheetId="7" state="visible" r:id="rId9"/>
    <sheet name="🧮 Formulas" sheetId="8" state="visible" r:id="rId10"/>
    <sheet name="📈 Charts" sheetId="9" state="visible" r:id="rId11"/>
    <sheet name="📝 Documentation" sheetId="10" state="visible" r:id="rId12"/>
  </sheets>
  <definedNames>
    <definedName function="false" hidden="true" localSheetId="4" name="_xlnm._FilterDatabase" vbProcedure="false">'📥 Raw_Data'!$A$1:$I$313</definedName>
    <definedName function="false" hidden="true" localSheetId="5" name="_xlnm._FilterDatabase" vbProcedure="false">'🧹 Clean_Data'!$A$1:$N$295</definedName>
    <definedName function="false" hidden="false" name="Dyn_Category" vbProcedure="false">OFFSET('🧹 Clean_Data'!$D$2,0,0,COUNTA('🧹 Clean_Data'!$A:$A)-1,1)</definedName>
    <definedName function="false" hidden="false" name="Dyn_Date" vbProcedure="false">OFFSET('🧹 Clean_Data'!$B$2,0,0,COUNTA('🧹 Clean_Data'!$A:$A)-1,1)</definedName>
    <definedName function="false" hidden="false" name="Dyn_Disc" vbProcedure="false">OFFSET('🧹 Clean_Data'!$I$2,0,0,COUNTA('🧹 Clean_Data'!$A:$A)-1,1)</definedName>
    <definedName function="false" hidden="false" name="Dyn_MonthNo" vbProcedure="false">OFFSET('🧹 Clean_Data'!$M$2,0,0,COUNTA('🧹 Clean_Data'!$A:$A)-1,1)</definedName>
    <definedName function="false" hidden="false" name="Dyn_OrderID" vbProcedure="false">OFFSET('🧹 Clean_Data'!$A$2,0,0,COUNTA('🧹 Clean_Data'!$A:$A)-1,1)</definedName>
    <definedName function="false" hidden="false" name="Dyn_Price" vbProcedure="false">OFFSET('🧹 Clean_Data'!$H$2,0,0,COUNTA('🧹 Clean_Data'!$A:$A)-1,1)</definedName>
    <definedName function="false" hidden="false" name="Dyn_Product" vbProcedure="false">OFFSET('🧹 Clean_Data'!$E$2,0,0,COUNTA('🧹 Clean_Data'!$A:$A)-1,1)</definedName>
    <definedName function="false" hidden="false" name="Dyn_Profit" vbProcedure="false">OFFSET('🧹 Clean_Data'!$L$2,0,0,COUNTA('🧹 Clean_Data'!$A:$A)-1,1)</definedName>
    <definedName function="false" hidden="false" name="Dyn_Qty" vbProcedure="false">OFFSET('🧹 Clean_Data'!$G$2,0,0,COUNTA('🧹 Clean_Data'!$A:$A)-1,1)</definedName>
    <definedName function="false" hidden="false" name="Dyn_Region" vbProcedure="false">OFFSET('🧹 Clean_Data'!$C$2,0,0,COUNTA('🧹 Clean_Data'!$A:$A)-1,1)</definedName>
    <definedName function="false" hidden="false" name="Dyn_Sales" vbProcedure="false">OFFSET('🧹 Clean_Data'!$J$2,0,0,COUNTA('🧹 Clean_Data'!$A:$A)-1,1)</definedName>
    <definedName function="false" hidden="false" name="Dyn_Segment" vbProcedure="false">OFFSET('🧹 Clean_Data'!$F$2,0,0,COUNTA('🧹 Clean_Data'!$A:$A)-1,1)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<sst xmlns="http://schemas.openxmlformats.org/spreadsheetml/2006/main" count="3390" uniqueCount="567">
  <si>
    <t xml:space="preserve">📊 📈 📉 💹 🧮 📋 📌 ✨ 🎯 🚀</t>
  </si>
  <si>
    <t xml:space="preserve">🎓 FINAL PRACTICAL EXAM 🎓</t>
  </si>
  <si>
    <t xml:space="preserve">📊 Excel Interactive Dashboard Project 📈</t>
  </si>
  <si>
    <t xml:space="preserve">🔢 📑 🧹 📊 🧮 📈 🎛️ 📝 ✅</t>
  </si>
  <si>
    <t xml:space="preserve">👤 Name</t>
  </si>
  <si>
    <t xml:space="preserve">Disha Thakkar</t>
  </si>
  <si>
    <t xml:space="preserve">🆔 GR ID</t>
  </si>
  <si>
    <t xml:space="preserve">12782</t>
  </si>
  <si>
    <t xml:space="preserve">📚 Course</t>
  </si>
  <si>
    <t xml:space="preserve">Data Analysis with Excel</t>
  </si>
  <si>
    <t xml:space="preserve">📅 Date</t>
  </si>
  <si>
    <t xml:space="preserve">15-Oct-2026</t>
  </si>
  <si>
    <t xml:space="preserve">⏱️ Time Limit</t>
  </si>
  <si>
    <t xml:space="preserve">3 hours</t>
  </si>
  <si>
    <t xml:space="preserve">🗂️ Dataset</t>
  </si>
  <si>
    <t xml:space="preserve">Retail Sales 2025 (sample dataset, India)</t>
  </si>
  <si>
    <t xml:space="preserve">💾 Submit As</t>
  </si>
  <si>
    <t xml:space="preserve">DishaThakkar_ExcelDashboard.xlsx</t>
  </si>
  <si>
    <t xml:space="preserve">🟨 Yellow cells on this page = personal details</t>
  </si>
  <si>
    <t xml:space="preserve">🗺️ CONTENTS (click to jump) 👇</t>
  </si>
  <si>
    <t xml:space="preserve">📺 Dashboard</t>
  </si>
  <si>
    <t xml:space="preserve">🎛️ Interactive dashboard with dropdown filters</t>
  </si>
  <si>
    <t xml:space="preserve">📋 Instructions</t>
  </si>
  <si>
    <t xml:space="preserve">📌 Exam rules &amp; instructions</t>
  </si>
  <si>
    <t xml:space="preserve">✅ Tasks</t>
  </si>
  <si>
    <t xml:space="preserve">🎯 7 tasks, time estimates, weightage</t>
  </si>
  <si>
    <t xml:space="preserve">📥 Raw_Data</t>
  </si>
  <si>
    <t xml:space="preserve">🗑️ Original messy dataset (duplicates, blanks, text dates)</t>
  </si>
  <si>
    <t xml:space="preserve">🧹 Clean_Data</t>
  </si>
  <si>
    <t xml:space="preserve">✨ Cleaned data + cleaning log + calculated columns</t>
  </si>
  <si>
    <t xml:space="preserve">📊 Pivots</t>
  </si>
  <si>
    <t xml:space="preserve">🧩 Pivot-style summary tables + conditional formatting</t>
  </si>
  <si>
    <t xml:space="preserve">🧮 Formulas</t>
  </si>
  <si>
    <t xml:space="preserve">🧠 VLOOKUP, INDEX-MATCH, IF, nested functions</t>
  </si>
  <si>
    <t xml:space="preserve">📈 Charts</t>
  </si>
  <si>
    <t xml:space="preserve">🥧 Charts: bar, line, pie, clustered, horizontal</t>
  </si>
  <si>
    <t xml:space="preserve">📝 Documentation</t>
  </si>
  <si>
    <t xml:space="preserve">📖 Naming conventions, assumptions, how-to</t>
  </si>
  <si>
    <t xml:space="preserve">🛠️ Skills: Import • Cleaning • Pivots • Formulas • Charts • Dashboard • Documentation</t>
  </si>
  <si>
    <t xml:space="preserve">🌟 Best of Luck! 🌟  ✅ Made with ❤️ in Excel 💚</t>
  </si>
  <si>
    <t xml:space="preserve">💰 📦 🛒 🧾 📅 🌍 🏆 ⭐ 🎉 🥳</t>
  </si>
  <si>
    <t xml:space="preserve">🎓 📊 SALES PERFORMANCE DASHBOARD 2025 📈 🎓</t>
  </si>
  <si>
    <t xml:space="preserve">👤 Disha Thakkar   |   🆔 GR ID 12782   |   📅 15-Oct-2026   |   📊 Excel Interactive Dashboard</t>
  </si>
  <si>
    <t xml:space="preserve">helper</t>
  </si>
  <si>
    <t xml:space="preserve">🌍 Region</t>
  </si>
  <si>
    <t xml:space="preserve">All</t>
  </si>
  <si>
    <t xml:space="preserve">📦 Category</t>
  </si>
  <si>
    <t xml:space="preserve">👥 Segment</t>
  </si>
  <si>
    <t xml:space="preserve">💰 📦 🛒 🧾 📅 🌍 🏆 ⭐ 📈 📉 💹 🎯</t>
  </si>
  <si>
    <t xml:space="preserve">👆 Use the yellow dropdowns to filter — every KPI, table and chart updates instantly (Excel Slicer-style).</t>
  </si>
  <si>
    <t xml:space="preserve">💰 Total Sales</t>
  </si>
  <si>
    <t xml:space="preserve">📈 Total Profit</t>
  </si>
  <si>
    <t xml:space="preserve">🧾 Orders</t>
  </si>
  <si>
    <t xml:space="preserve">🛒 Avg Order Value</t>
  </si>
  <si>
    <t xml:space="preserve">📊 Profit Margin</t>
  </si>
  <si>
    <t xml:space="preserve">📅 Monthly Trend</t>
  </si>
  <si>
    <t xml:space="preserve">🏆 Product Sales</t>
  </si>
  <si>
    <t xml:space="preserve">📦 Category Sales</t>
  </si>
  <si>
    <t xml:space="preserve">Month</t>
  </si>
  <si>
    <t xml:space="preserve">Sales (₹)</t>
  </si>
  <si>
    <t xml:space="preserve">Profit (₹)</t>
  </si>
  <si>
    <t xml:space="preserve">Product</t>
  </si>
  <si>
    <t xml:space="preserve">Category</t>
  </si>
  <si>
    <t xml:space="preserve">🌍 Region Sales</t>
  </si>
  <si>
    <t xml:space="preserve">Region</t>
  </si>
  <si>
    <t xml:space="preserve">North</t>
  </si>
  <si>
    <t xml:space="preserve">South</t>
  </si>
  <si>
    <t xml:space="preserve">East</t>
  </si>
  <si>
    <t xml:space="preserve">West</t>
  </si>
  <si>
    <t xml:space="preserve">🌟 Best of Luck! 🌟  ✅ Dashboard made with ❤️ in Excel by Disha Thakkar 💚</t>
  </si>
  <si>
    <t xml:space="preserve">📊 📈 📉 💹 🧮 📋 📌 ✨ 🎯 🚀 🎉 🥳</t>
  </si>
  <si>
    <t xml:space="preserve">📋 EXAM INSTRUCTIONS</t>
  </si>
  <si>
    <t xml:space="preserve">Sr. No.</t>
  </si>
  <si>
    <t xml:space="preserve">Task Description</t>
  </si>
  <si>
    <t xml:space="preserve">Status</t>
  </si>
  <si>
    <t xml:space="preserve">⏱️ Time Limit: 3 hours</t>
  </si>
  <si>
    <t xml:space="preserve">✅ Noted</t>
  </si>
  <si>
    <t xml:space="preserve">🗂️ Choose any dataset from Kaggle / UCI ML Repository</t>
  </si>
  <si>
    <t xml:space="preserve">✅ Retail sales dataset used</t>
  </si>
  <si>
    <t xml:space="preserve">📺 Create an interactive dashboard</t>
  </si>
  <si>
    <t xml:space="preserve">✅ See 📺 Dashboard</t>
  </si>
  <si>
    <t xml:space="preserve">📑 Complete tasks in order listed</t>
  </si>
  <si>
    <t xml:space="preserve">✅ Sheets follow task order</t>
  </si>
  <si>
    <t xml:space="preserve">💾 Save work every 15 minutes</t>
  </si>
  <si>
    <t xml:space="preserve">✅ Ctrl+S habit</t>
  </si>
  <si>
    <t xml:space="preserve">📤 Submit final file as 'DishaThakkar_ExcelDashboard.xlsx'</t>
  </si>
  <si>
    <t xml:space="preserve">✅ File named accordingly</t>
  </si>
  <si>
    <t xml:space="preserve">✅ TASK LIST &amp; WEIGHTAGE</t>
  </si>
  <si>
    <t xml:space="preserve">Skills Tested</t>
  </si>
  <si>
    <t xml:space="preserve">Time Estimate Min</t>
  </si>
  <si>
    <t xml:space="preserve">Weightage</t>
  </si>
  <si>
    <t xml:space="preserve">Where to find it</t>
  </si>
  <si>
    <t xml:space="preserve">📥 Dataset Selection &amp; Import</t>
  </si>
  <si>
    <t xml:space="preserve">Data Import, Initial Cleaning</t>
  </si>
  <si>
    <t xml:space="preserve">✅ Done</t>
  </si>
  <si>
    <t xml:space="preserve">Go to 📥 Raw_Data</t>
  </si>
  <si>
    <t xml:space="preserve">🧹 Data Cleaning &amp; Preparation</t>
  </si>
  <si>
    <t xml:space="preserve">Remove duplicates, Handle missing values, Format data types</t>
  </si>
  <si>
    <t xml:space="preserve">Go to 🧹 Clean_Data</t>
  </si>
  <si>
    <t xml:space="preserve">📊 Create Pivot Tables</t>
  </si>
  <si>
    <t xml:space="preserve">Data Analysis, Summarization</t>
  </si>
  <si>
    <t xml:space="preserve">Go to 📊 Pivots</t>
  </si>
  <si>
    <t xml:space="preserve">🧮 Advanced Formulas</t>
  </si>
  <si>
    <t xml:space="preserve">VLOOKUP, INDEX-MATCH, IF conditions, nested functions</t>
  </si>
  <si>
    <t xml:space="preserve">Go to 🧮 Formulas</t>
  </si>
  <si>
    <t xml:space="preserve">📈 Data Visualization</t>
  </si>
  <si>
    <t xml:space="preserve">Charts, Conditional Formatting</t>
  </si>
  <si>
    <t xml:space="preserve">Go to 📈 Charts</t>
  </si>
  <si>
    <t xml:space="preserve">🎛️ Interactive Dashboard</t>
  </si>
  <si>
    <t xml:space="preserve">Slicers, Timeline, Dynamic ranges</t>
  </si>
  <si>
    <t xml:space="preserve">Go to 📺 Dashboard</t>
  </si>
  <si>
    <t xml:space="preserve">Sheet organization, Naming conventions, Instructions</t>
  </si>
  <si>
    <t xml:space="preserve">Go to 📝 Documentation</t>
  </si>
  <si>
    <t xml:space="preserve">Total</t>
  </si>
  <si>
    <t xml:space="preserve">Exam time limit (min)</t>
  </si>
  <si>
    <t xml:space="preserve">Estimated minutes vs. limit</t>
  </si>
  <si>
    <t xml:space="preserve">Note: the estimates in the exam sheet add up to 210 min, which is 30 min over the 3-hour limit.</t>
  </si>
  <si>
    <t xml:space="preserve">Order ID</t>
  </si>
  <si>
    <t xml:space="preserve">Order Date</t>
  </si>
  <si>
    <t xml:space="preserve">Segment</t>
  </si>
  <si>
    <t xml:space="preserve">Quantity</t>
  </si>
  <si>
    <t xml:space="preserve">Unit Price</t>
  </si>
  <si>
    <t xml:space="preserve">Discount</t>
  </si>
  <si>
    <t xml:space="preserve">ORD-1096</t>
  </si>
  <si>
    <t xml:space="preserve">Technology</t>
  </si>
  <si>
    <t xml:space="preserve">Headphones</t>
  </si>
  <si>
    <t xml:space="preserve">Consumer</t>
  </si>
  <si>
    <t xml:space="preserve">ORD-1002</t>
  </si>
  <si>
    <t xml:space="preserve">Office Supplies</t>
  </si>
  <si>
    <t xml:space="preserve">Notebook</t>
  </si>
  <si>
    <t xml:space="preserve">ORD-1241</t>
  </si>
  <si>
    <t xml:space="preserve">Laptop</t>
  </si>
  <si>
    <t xml:space="preserve">ORD-1274</t>
  </si>
  <si>
    <t xml:space="preserve">Smartphone</t>
  </si>
  <si>
    <t xml:space="preserve">Corporate</t>
  </si>
  <si>
    <t xml:space="preserve">ORD-1151</t>
  </si>
  <si>
    <t xml:space="preserve">Furniture</t>
  </si>
  <si>
    <t xml:space="preserve">Desk</t>
  </si>
  <si>
    <t xml:space="preserve">ORD-1106</t>
  </si>
  <si>
    <t xml:space="preserve">Bookcase</t>
  </si>
  <si>
    <t xml:space="preserve">ORD-1080</t>
  </si>
  <si>
    <t xml:space="preserve">Home Office</t>
  </si>
  <si>
    <t xml:space="preserve">ORD-1227</t>
  </si>
  <si>
    <t xml:space="preserve">ORD-1221</t>
  </si>
  <si>
    <t xml:space="preserve">Stapler</t>
  </si>
  <si>
    <t xml:space="preserve">ORD-1037</t>
  </si>
  <si>
    <t xml:space="preserve">Monitor</t>
  </si>
  <si>
    <t xml:space="preserve">ORD-1044</t>
  </si>
  <si>
    <t xml:space="preserve">ORD-1051</t>
  </si>
  <si>
    <t xml:space="preserve">Printer Paper</t>
  </si>
  <si>
    <t xml:space="preserve">ORD-1193</t>
  </si>
  <si>
    <t xml:space="preserve"> West </t>
  </si>
  <si>
    <t xml:space="preserve">ORD-1143</t>
  </si>
  <si>
    <t xml:space="preserve">2025-12-06</t>
  </si>
  <si>
    <t xml:space="preserve">ORD-1262</t>
  </si>
  <si>
    <t xml:space="preserve">Pen Set</t>
  </si>
  <si>
    <t xml:space="preserve">ORD-1265</t>
  </si>
  <si>
    <t xml:space="preserve">ORD-1011</t>
  </si>
  <si>
    <t xml:space="preserve">ORD-1159</t>
  </si>
  <si>
    <t xml:space="preserve">ORD-1207</t>
  </si>
  <si>
    <t xml:space="preserve">Office Chair</t>
  </si>
  <si>
    <t xml:space="preserve">ORD-1211</t>
  </si>
  <si>
    <t xml:space="preserve">NORTH</t>
  </si>
  <si>
    <t xml:space="preserve">ORD-1083</t>
  </si>
  <si>
    <t xml:space="preserve">ORD-1142</t>
  </si>
  <si>
    <t xml:space="preserve">ORD-1063</t>
  </si>
  <si>
    <t xml:space="preserve">2025-01-23</t>
  </si>
  <si>
    <t xml:space="preserve">ORD-1026</t>
  </si>
  <si>
    <t xml:space="preserve">ORD-1075</t>
  </si>
  <si>
    <t xml:space="preserve">2025-05-08</t>
  </si>
  <si>
    <t xml:space="preserve">ORD-1078</t>
  </si>
  <si>
    <t xml:space="preserve">east</t>
  </si>
  <si>
    <t xml:space="preserve">ORD-1111</t>
  </si>
  <si>
    <t xml:space="preserve">ORD-1190</t>
  </si>
  <si>
    <t xml:space="preserve">ORD-1183</t>
  </si>
  <si>
    <t xml:space="preserve">9</t>
  </si>
  <si>
    <t xml:space="preserve">ORD-1292</t>
  </si>
  <si>
    <t xml:space="preserve">ORD-1010</t>
  </si>
  <si>
    <t xml:space="preserve">ORD-1120</t>
  </si>
  <si>
    <t xml:space="preserve">ORD-1214</t>
  </si>
  <si>
    <t xml:space="preserve">ORD-1092</t>
  </si>
  <si>
    <t xml:space="preserve">ORD-1050</t>
  </si>
  <si>
    <t xml:space="preserve">ORD-1048</t>
  </si>
  <si>
    <t xml:space="preserve">ORD-1125</t>
  </si>
  <si>
    <t xml:space="preserve">Lamp</t>
  </si>
  <si>
    <t xml:space="preserve">ORD-1003</t>
  </si>
  <si>
    <t xml:space="preserve">ORD-1073</t>
  </si>
  <si>
    <t xml:space="preserve">ORD-1279</t>
  </si>
  <si>
    <t xml:space="preserve">ORD-1060</t>
  </si>
  <si>
    <t xml:space="preserve">ORD-1127</t>
  </si>
  <si>
    <t xml:space="preserve">2025-04-03</t>
  </si>
  <si>
    <t xml:space="preserve">ORD-1266</t>
  </si>
  <si>
    <t xml:space="preserve">SOUTH</t>
  </si>
  <si>
    <t xml:space="preserve">ORD-1020</t>
  </si>
  <si>
    <t xml:space="preserve">ORD-1256</t>
  </si>
  <si>
    <t xml:space="preserve">ORD-1172</t>
  </si>
  <si>
    <t xml:space="preserve">ORD-1116</t>
  </si>
  <si>
    <t xml:space="preserve">2025-10-19</t>
  </si>
  <si>
    <t xml:space="preserve">ORD-1110</t>
  </si>
  <si>
    <t xml:space="preserve">ORD-1022</t>
  </si>
  <si>
    <t xml:space="preserve">2025-01-10</t>
  </si>
  <si>
    <t xml:space="preserve">ORD-1014</t>
  </si>
  <si>
    <t xml:space="preserve">ORD-1178</t>
  </si>
  <si>
    <t xml:space="preserve">ORD-1176</t>
  </si>
  <si>
    <t xml:space="preserve">south</t>
  </si>
  <si>
    <t xml:space="preserve">ORD-1025</t>
  </si>
  <si>
    <t xml:space="preserve">ORD-1133</t>
  </si>
  <si>
    <t xml:space="preserve">ORD-1199</t>
  </si>
  <si>
    <t xml:space="preserve">ORD-1226</t>
  </si>
  <si>
    <t xml:space="preserve">ORD-1124</t>
  </si>
  <si>
    <t xml:space="preserve">ORD-1027</t>
  </si>
  <si>
    <t xml:space="preserve">ORD-1088</t>
  </si>
  <si>
    <t xml:space="preserve">ORD-1281</t>
  </si>
  <si>
    <t xml:space="preserve">ORD-1220</t>
  </si>
  <si>
    <t xml:space="preserve">ORD-1104</t>
  </si>
  <si>
    <t xml:space="preserve">ORD-1163</t>
  </si>
  <si>
    <t xml:space="preserve">2025-09-04</t>
  </si>
  <si>
    <t xml:space="preserve">ORD-1103</t>
  </si>
  <si>
    <t xml:space="preserve">ORD-1260</t>
  </si>
  <si>
    <t xml:space="preserve">ORD-1174</t>
  </si>
  <si>
    <t xml:space="preserve">ORD-1290</t>
  </si>
  <si>
    <t xml:space="preserve">3</t>
  </si>
  <si>
    <t xml:space="preserve">ORD-1261</t>
  </si>
  <si>
    <t xml:space="preserve">ORD-1204</t>
  </si>
  <si>
    <t xml:space="preserve">ORD-1295</t>
  </si>
  <si>
    <t xml:space="preserve">ORD-1154</t>
  </si>
  <si>
    <t xml:space="preserve">ORD-1225</t>
  </si>
  <si>
    <t xml:space="preserve">ORD-1157</t>
  </si>
  <si>
    <t xml:space="preserve">ORD-1054</t>
  </si>
  <si>
    <t xml:space="preserve">ORD-1246</t>
  </si>
  <si>
    <t xml:space="preserve">2025-09-27</t>
  </si>
  <si>
    <t xml:space="preserve">ORD-1068</t>
  </si>
  <si>
    <t xml:space="preserve">ORD-1230</t>
  </si>
  <si>
    <t xml:space="preserve">ORD-1289</t>
  </si>
  <si>
    <t xml:space="preserve">ORD-1146</t>
  </si>
  <si>
    <t xml:space="preserve">ORD-1195</t>
  </si>
  <si>
    <t xml:space="preserve">2025-12-03</t>
  </si>
  <si>
    <t xml:space="preserve">ORD-1086</t>
  </si>
  <si>
    <t xml:space="preserve">ORD-1055</t>
  </si>
  <si>
    <t xml:space="preserve">ORD-1081</t>
  </si>
  <si>
    <t xml:space="preserve">ORD-1023</t>
  </si>
  <si>
    <t xml:space="preserve">ORD-1076</t>
  </si>
  <si>
    <t xml:space="preserve">ORD-1285</t>
  </si>
  <si>
    <t xml:space="preserve">ORD-1198</t>
  </si>
  <si>
    <t xml:space="preserve">ORD-1036</t>
  </si>
  <si>
    <t xml:space="preserve">ORD-1238</t>
  </si>
  <si>
    <t xml:space="preserve">ORD-1129</t>
  </si>
  <si>
    <t xml:space="preserve">ORD-1067</t>
  </si>
  <si>
    <t xml:space="preserve">ORD-1085</t>
  </si>
  <si>
    <t xml:space="preserve">ORD-1182</t>
  </si>
  <si>
    <t xml:space="preserve">EAST</t>
  </si>
  <si>
    <t xml:space="preserve">ORD-1215</t>
  </si>
  <si>
    <t xml:space="preserve">ORD-1251</t>
  </si>
  <si>
    <t xml:space="preserve">2025-06-11</t>
  </si>
  <si>
    <t xml:space="preserve">ORD-1042</t>
  </si>
  <si>
    <t xml:space="preserve">ORD-1122</t>
  </si>
  <si>
    <t xml:space="preserve">ORD-1255</t>
  </si>
  <si>
    <t xml:space="preserve">ORD-1187</t>
  </si>
  <si>
    <t xml:space="preserve">ORD-1041</t>
  </si>
  <si>
    <t xml:space="preserve">ORD-1094</t>
  </si>
  <si>
    <t xml:space="preserve">ORD-1257</t>
  </si>
  <si>
    <t xml:space="preserve">WEST</t>
  </si>
  <si>
    <t xml:space="preserve">ORD-1038</t>
  </si>
  <si>
    <t xml:space="preserve">ORD-1065</t>
  </si>
  <si>
    <t xml:space="preserve">ORD-1282</t>
  </si>
  <si>
    <t xml:space="preserve">2025-03-08</t>
  </si>
  <si>
    <t xml:space="preserve">ORD-1299</t>
  </si>
  <si>
    <t xml:space="preserve">ORD-1100</t>
  </si>
  <si>
    <t xml:space="preserve">ORD-1161</t>
  </si>
  <si>
    <t xml:space="preserve">ORD-1028</t>
  </si>
  <si>
    <t xml:space="preserve">ORD-1070</t>
  </si>
  <si>
    <t xml:space="preserve">ORD-1210</t>
  </si>
  <si>
    <t xml:space="preserve">ORD-1057</t>
  </si>
  <si>
    <t xml:space="preserve">ORD-1218</t>
  </si>
  <si>
    <t xml:space="preserve">ORD-1148</t>
  </si>
  <si>
    <t xml:space="preserve">2025-12-17</t>
  </si>
  <si>
    <t xml:space="preserve">ORD-1286</t>
  </si>
  <si>
    <t xml:space="preserve">ORD-1007</t>
  </si>
  <si>
    <t xml:space="preserve">ORD-1112</t>
  </si>
  <si>
    <t xml:space="preserve">ORD-1091</t>
  </si>
  <si>
    <t xml:space="preserve">ORD-1087</t>
  </si>
  <si>
    <t xml:space="preserve">ORD-1205</t>
  </si>
  <si>
    <t xml:space="preserve">ORD-1242</t>
  </si>
  <si>
    <t xml:space="preserve"> South </t>
  </si>
  <si>
    <t xml:space="preserve">ORD-1203</t>
  </si>
  <si>
    <t xml:space="preserve">2025-11-03</t>
  </si>
  <si>
    <t xml:space="preserve">ORD-1217</t>
  </si>
  <si>
    <t xml:space="preserve">ORD-1013</t>
  </si>
  <si>
    <t xml:space="preserve">ORD-1209</t>
  </si>
  <si>
    <t xml:space="preserve">ORD-1296</t>
  </si>
  <si>
    <t xml:space="preserve">ORD-1062</t>
  </si>
  <si>
    <t xml:space="preserve">ORD-1005</t>
  </si>
  <si>
    <t xml:space="preserve">ORD-1167</t>
  </si>
  <si>
    <t xml:space="preserve">ORD-1191</t>
  </si>
  <si>
    <t xml:space="preserve">ORD-1223</t>
  </si>
  <si>
    <t xml:space="preserve">ORD-1287</t>
  </si>
  <si>
    <t xml:space="preserve">2025-10-26</t>
  </si>
  <si>
    <t xml:space="preserve">ORD-1071</t>
  </si>
  <si>
    <t xml:space="preserve">ORD-1254</t>
  </si>
  <si>
    <t xml:space="preserve">ORD-1179</t>
  </si>
  <si>
    <t xml:space="preserve">2025-01-08</t>
  </si>
  <si>
    <t xml:space="preserve">ORD-1118</t>
  </si>
  <si>
    <t xml:space="preserve">ORD-1237</t>
  </si>
  <si>
    <t xml:space="preserve">15</t>
  </si>
  <si>
    <t xml:space="preserve">ORD-1059</t>
  </si>
  <si>
    <t xml:space="preserve">ORD-1164</t>
  </si>
  <si>
    <t xml:space="preserve">ORD-1276</t>
  </si>
  <si>
    <t xml:space="preserve">ORD-1248</t>
  </si>
  <si>
    <t xml:space="preserve">ORD-1291</t>
  </si>
  <si>
    <t xml:space="preserve">2025-12-15</t>
  </si>
  <si>
    <t xml:space="preserve">ORD-1252</t>
  </si>
  <si>
    <t xml:space="preserve">ORD-1077</t>
  </si>
  <si>
    <t xml:space="preserve">ORD-1188</t>
  </si>
  <si>
    <t xml:space="preserve">ORD-1271</t>
  </si>
  <si>
    <t xml:space="preserve">ORD-1033</t>
  </si>
  <si>
    <t xml:space="preserve">ORD-1228</t>
  </si>
  <si>
    <t xml:space="preserve">ORD-1101</t>
  </si>
  <si>
    <t xml:space="preserve">ORD-1216</t>
  </si>
  <si>
    <t xml:space="preserve">ORD-1046</t>
  </si>
  <si>
    <t xml:space="preserve">ORD-1031</t>
  </si>
  <si>
    <t xml:space="preserve">ORD-1294</t>
  </si>
  <si>
    <t xml:space="preserve">ORD-1275</t>
  </si>
  <si>
    <t xml:space="preserve">ORD-1177</t>
  </si>
  <si>
    <t xml:space="preserve">2025-04-30</t>
  </si>
  <si>
    <t xml:space="preserve">ORD-1231</t>
  </si>
  <si>
    <t xml:space="preserve">ORD-1162</t>
  </si>
  <si>
    <t xml:space="preserve">ORD-1097</t>
  </si>
  <si>
    <t xml:space="preserve">ORD-1232</t>
  </si>
  <si>
    <t xml:space="preserve">ORD-1098</t>
  </si>
  <si>
    <t xml:space="preserve">ORD-1250</t>
  </si>
  <si>
    <t xml:space="preserve">ORD-1108</t>
  </si>
  <si>
    <t xml:space="preserve">ORD-1283</t>
  </si>
  <si>
    <t xml:space="preserve">ORD-1165</t>
  </si>
  <si>
    <t xml:space="preserve">ORD-1035</t>
  </si>
  <si>
    <t xml:space="preserve">ORD-1047</t>
  </si>
  <si>
    <t xml:space="preserve">ORD-1105</t>
  </si>
  <si>
    <t xml:space="preserve"> East </t>
  </si>
  <si>
    <t xml:space="preserve">ORD-1074</t>
  </si>
  <si>
    <t xml:space="preserve">1</t>
  </si>
  <si>
    <t xml:space="preserve">ORD-1009</t>
  </si>
  <si>
    <t xml:space="preserve">ORD-1284</t>
  </si>
  <si>
    <t xml:space="preserve">ORD-1018</t>
  </si>
  <si>
    <t xml:space="preserve">ORD-1222</t>
  </si>
  <si>
    <t xml:space="preserve">ORD-1139</t>
  </si>
  <si>
    <t xml:space="preserve">ORD-1017</t>
  </si>
  <si>
    <t xml:space="preserve">ORD-1089</t>
  </si>
  <si>
    <t xml:space="preserve"> North </t>
  </si>
  <si>
    <t xml:space="preserve">ORD-1109</t>
  </si>
  <si>
    <t xml:space="preserve">ORD-1012</t>
  </si>
  <si>
    <t xml:space="preserve">ORD-1019</t>
  </si>
  <si>
    <t xml:space="preserve">ORD-1149</t>
  </si>
  <si>
    <t xml:space="preserve">2025-08-16</t>
  </si>
  <si>
    <t xml:space="preserve">ORD-1267</t>
  </si>
  <si>
    <t xml:space="preserve">ORD-1001</t>
  </si>
  <si>
    <t xml:space="preserve">ORD-1066</t>
  </si>
  <si>
    <t xml:space="preserve">ORD-1102</t>
  </si>
  <si>
    <t xml:space="preserve">ORD-1273</t>
  </si>
  <si>
    <t xml:space="preserve">ORD-1186</t>
  </si>
  <si>
    <t xml:space="preserve">ORD-1079</t>
  </si>
  <si>
    <t xml:space="preserve">ORD-1298</t>
  </si>
  <si>
    <t xml:space="preserve">ORD-1119</t>
  </si>
  <si>
    <t xml:space="preserve">ORD-1144</t>
  </si>
  <si>
    <t xml:space="preserve">ORD-1201</t>
  </si>
  <si>
    <t xml:space="preserve">ORD-1233</t>
  </si>
  <si>
    <t xml:space="preserve">ORD-1200</t>
  </si>
  <si>
    <t xml:space="preserve">ORD-1249</t>
  </si>
  <si>
    <t xml:space="preserve">ORD-1034</t>
  </si>
  <si>
    <t xml:space="preserve">ORD-1015</t>
  </si>
  <si>
    <t xml:space="preserve">ORD-1277</t>
  </si>
  <si>
    <t xml:space="preserve">ORD-1131</t>
  </si>
  <si>
    <t xml:space="preserve">ORD-1024</t>
  </si>
  <si>
    <t xml:space="preserve">ORD-1126</t>
  </si>
  <si>
    <t xml:space="preserve">ORD-1150</t>
  </si>
  <si>
    <t xml:space="preserve">ORD-1184</t>
  </si>
  <si>
    <t xml:space="preserve">ORD-1053</t>
  </si>
  <si>
    <t xml:space="preserve">ORD-1236</t>
  </si>
  <si>
    <t xml:space="preserve">ORD-1030</t>
  </si>
  <si>
    <t xml:space="preserve">ORD-1263</t>
  </si>
  <si>
    <t xml:space="preserve">ORD-1272</t>
  </si>
  <si>
    <t xml:space="preserve">ORD-1043</t>
  </si>
  <si>
    <t xml:space="preserve">ORD-1039</t>
  </si>
  <si>
    <t xml:space="preserve">ORD-1243</t>
  </si>
  <si>
    <t xml:space="preserve">ORD-1147</t>
  </si>
  <si>
    <t xml:space="preserve">ORD-1052</t>
  </si>
  <si>
    <t xml:space="preserve">ORD-1130</t>
  </si>
  <si>
    <t xml:space="preserve">ORD-1247</t>
  </si>
  <si>
    <t xml:space="preserve">ORD-1213</t>
  </si>
  <si>
    <t xml:space="preserve">ORD-1016</t>
  </si>
  <si>
    <t xml:space="preserve">ORD-1029</t>
  </si>
  <si>
    <t xml:space="preserve">ORD-1145</t>
  </si>
  <si>
    <t xml:space="preserve">ORD-1093</t>
  </si>
  <si>
    <t xml:space="preserve">ORD-1181</t>
  </si>
  <si>
    <t xml:space="preserve">ORD-1136</t>
  </si>
  <si>
    <t xml:space="preserve">ORD-1115</t>
  </si>
  <si>
    <t xml:space="preserve">ORD-1135</t>
  </si>
  <si>
    <t xml:space="preserve">ORD-1021</t>
  </si>
  <si>
    <t xml:space="preserve">4</t>
  </si>
  <si>
    <t xml:space="preserve">ORD-1202</t>
  </si>
  <si>
    <t xml:space="preserve">ORD-1224</t>
  </si>
  <si>
    <t xml:space="preserve">ORD-1153</t>
  </si>
  <si>
    <t xml:space="preserve">2025-12-08</t>
  </si>
  <si>
    <t xml:space="preserve">ORD-1244</t>
  </si>
  <si>
    <t xml:space="preserve">ORD-1175</t>
  </si>
  <si>
    <t xml:space="preserve">ORD-1064</t>
  </si>
  <si>
    <t xml:space="preserve">ORD-1196</t>
  </si>
  <si>
    <t xml:space="preserve">ORD-1056</t>
  </si>
  <si>
    <t xml:space="preserve">ORD-1212</t>
  </si>
  <si>
    <t xml:space="preserve">ORD-1171</t>
  </si>
  <si>
    <t xml:space="preserve">ORD-1288</t>
  </si>
  <si>
    <t xml:space="preserve">ORD-1138</t>
  </si>
  <si>
    <t xml:space="preserve">ORD-1194</t>
  </si>
  <si>
    <t xml:space="preserve">ORD-1270</t>
  </si>
  <si>
    <t xml:space="preserve">ORD-1234</t>
  </si>
  <si>
    <t xml:space="preserve">ORD-1141</t>
  </si>
  <si>
    <t xml:space="preserve">2025-06-14</t>
  </si>
  <si>
    <t xml:space="preserve">ORD-1180</t>
  </si>
  <si>
    <t xml:space="preserve">ORD-1107</t>
  </si>
  <si>
    <t xml:space="preserve">ORD-1300</t>
  </si>
  <si>
    <t xml:space="preserve">ORD-1156</t>
  </si>
  <si>
    <t xml:space="preserve">ORD-1192</t>
  </si>
  <si>
    <t xml:space="preserve">ORD-1117</t>
  </si>
  <si>
    <t xml:space="preserve">ORD-1040</t>
  </si>
  <si>
    <t xml:space="preserve">ORD-1123</t>
  </si>
  <si>
    <t xml:space="preserve">ORD-1113</t>
  </si>
  <si>
    <t xml:space="preserve">ORD-1114</t>
  </si>
  <si>
    <t xml:space="preserve">ORD-1189</t>
  </si>
  <si>
    <t xml:space="preserve">ORD-1297</t>
  </si>
  <si>
    <t xml:space="preserve">ORD-1268</t>
  </si>
  <si>
    <t xml:space="preserve">ORD-1160</t>
  </si>
  <si>
    <t xml:space="preserve">ORD-1258</t>
  </si>
  <si>
    <t xml:space="preserve">ORD-1293</t>
  </si>
  <si>
    <t xml:space="preserve">ORD-1082</t>
  </si>
  <si>
    <t xml:space="preserve">ORD-1158</t>
  </si>
  <si>
    <t xml:space="preserve">ORD-1239</t>
  </si>
  <si>
    <t xml:space="preserve">ORD-1061</t>
  </si>
  <si>
    <t xml:space="preserve">ORD-1032</t>
  </si>
  <si>
    <t xml:space="preserve">ORD-1278</t>
  </si>
  <si>
    <t xml:space="preserve">ORD-1185</t>
  </si>
  <si>
    <t xml:space="preserve">ORD-1280</t>
  </si>
  <si>
    <t xml:space="preserve">west</t>
  </si>
  <si>
    <t xml:space="preserve">ORD-1006</t>
  </si>
  <si>
    <t xml:space="preserve">ORD-1155</t>
  </si>
  <si>
    <t xml:space="preserve">ORD-1169</t>
  </si>
  <si>
    <t xml:space="preserve">ORD-1137</t>
  </si>
  <si>
    <t xml:space="preserve">ORD-1229</t>
  </si>
  <si>
    <t xml:space="preserve">ORD-1121</t>
  </si>
  <si>
    <t xml:space="preserve">ORD-1197</t>
  </si>
  <si>
    <t xml:space="preserve">ORD-1134</t>
  </si>
  <si>
    <t xml:space="preserve">ORD-1004</t>
  </si>
  <si>
    <t xml:space="preserve">ORD-1128</t>
  </si>
  <si>
    <t xml:space="preserve">ORD-1166</t>
  </si>
  <si>
    <t xml:space="preserve">ORD-1245</t>
  </si>
  <si>
    <t xml:space="preserve">ORD-1072</t>
  </si>
  <si>
    <t xml:space="preserve">ORD-1095</t>
  </si>
  <si>
    <t xml:space="preserve">ORD-1049</t>
  </si>
  <si>
    <t xml:space="preserve">ORD-1206</t>
  </si>
  <si>
    <t xml:space="preserve">ORD-1045</t>
  </si>
  <si>
    <t xml:space="preserve">ORD-1168</t>
  </si>
  <si>
    <t xml:space="preserve">11</t>
  </si>
  <si>
    <t xml:space="preserve">ORD-1264</t>
  </si>
  <si>
    <t xml:space="preserve">ORD-1219</t>
  </si>
  <si>
    <t xml:space="preserve">ORD-1208</t>
  </si>
  <si>
    <t xml:space="preserve">ORD-1090</t>
  </si>
  <si>
    <t xml:space="preserve">ORD-1152</t>
  </si>
  <si>
    <t xml:space="preserve">ORD-1173</t>
  </si>
  <si>
    <t xml:space="preserve">ORD-1008</t>
  </si>
  <si>
    <t xml:space="preserve">ORD-1132</t>
  </si>
  <si>
    <t xml:space="preserve">ORD-1235</t>
  </si>
  <si>
    <t xml:space="preserve">ORD-1084</t>
  </si>
  <si>
    <t xml:space="preserve">ORD-1170</t>
  </si>
  <si>
    <t xml:space="preserve">ORD-1058</t>
  </si>
  <si>
    <t xml:space="preserve">ORD-1099</t>
  </si>
  <si>
    <t xml:space="preserve">ORD-1140</t>
  </si>
  <si>
    <t xml:space="preserve">ORD-1240</t>
  </si>
  <si>
    <t xml:space="preserve">ORD-1259</t>
  </si>
  <si>
    <t xml:space="preserve">ORD-1069</t>
  </si>
  <si>
    <t xml:space="preserve">ORD-1253</t>
  </si>
  <si>
    <t xml:space="preserve">ORD-1269</t>
  </si>
  <si>
    <t xml:space="preserve">Margin %</t>
  </si>
  <si>
    <t xml:space="preserve">Month No</t>
  </si>
  <si>
    <t xml:space="preserve">🧾 CLEANING LOG</t>
  </si>
  <si>
    <t xml:space="preserve">Raw rows</t>
  </si>
  <si>
    <t xml:space="preserve">Unique Order IDs</t>
  </si>
  <si>
    <t xml:space="preserve">Duplicates removed</t>
  </si>
  <si>
    <t xml:space="preserve">Blank Region (rows dropped)</t>
  </si>
  <si>
    <t xml:space="preserve">Missing Quantity (→ product median)</t>
  </si>
  <si>
    <t xml:space="preserve">Missing Discount (→ 0%)</t>
  </si>
  <si>
    <t xml:space="preserve">Clean rows</t>
  </si>
  <si>
    <t xml:space="preserve">Note: blank-Region count may include rows that were also duplicates.</t>
  </si>
  <si>
    <t xml:space="preserve">📊 PIVOT-STYLE SUMMARY TABLES  |  SUMIFS / COUNTIFS on dynamic ranges</t>
  </si>
  <si>
    <t xml:space="preserve">Tables recalculate automatically when Clean_Data changes. Conditional formatting: data bars, colour scale, icon sets.</t>
  </si>
  <si>
    <t xml:space="preserve">🌍 1) Sales by Region</t>
  </si>
  <si>
    <t xml:space="preserve">Orders</t>
  </si>
  <si>
    <t xml:space="preserve">% of Sales</t>
  </si>
  <si>
    <t xml:space="preserve">Avg Order (₹)</t>
  </si>
  <si>
    <t xml:space="preserve">🧩 2) Category × Region (Sales ₹)</t>
  </si>
  <si>
    <t xml:space="preserve">📅 3) Monthly Trend (2025)</t>
  </si>
  <si>
    <t xml:space="preserve">vs Monthly Avg</t>
  </si>
  <si>
    <t xml:space="preserve">🏆 4) Product Performance</t>
  </si>
  <si>
    <t xml:space="preserve">Rank</t>
  </si>
  <si>
    <t xml:space="preserve">👥 5) Customer Segment</t>
  </si>
  <si>
    <t xml:space="preserve">🧮 ADVANCED FORMULAS  |  VLOOKUP • INDEX-MATCH • IF • Nested Functions</t>
  </si>
  <si>
    <t xml:space="preserve">🔑 Yellow cells = inputs you can change   |   Blue text = assumptions (hardcoded inputs)</t>
  </si>
  <si>
    <t xml:space="preserve">📦 Product Master (lookup table)</t>
  </si>
  <si>
    <t xml:space="preserve">💰 Category Margin %</t>
  </si>
  <si>
    <t xml:space="preserve">List Price (₹)</t>
  </si>
  <si>
    <t xml:space="preserve">Assumption: margins are illustrative inputs set by the student.</t>
  </si>
  <si>
    <t xml:space="preserve">🔍 LOOKUP DEMO</t>
  </si>
  <si>
    <t xml:space="preserve">Pick a product 👉</t>
  </si>
  <si>
    <t xml:space="preserve">🏷️ VLOOKUP</t>
  </si>
  <si>
    <t xml:space="preserve">List Price</t>
  </si>
  <si>
    <t xml:space="preserve">List Price (again)</t>
  </si>
  <si>
    <t xml:space="preserve">🏷️ INDEX-MATCH</t>
  </si>
  <si>
    <t xml:space="preserve">🏷️ Nested lookup</t>
  </si>
  <si>
    <t xml:space="preserve">Units Sold</t>
  </si>
  <si>
    <t xml:space="preserve">🏷️ SUMIFS + named range</t>
  </si>
  <si>
    <t xml:space="preserve">Total Sales</t>
  </si>
  <si>
    <t xml:space="preserve">🏷️ SUMIFS</t>
  </si>
  <si>
    <t xml:space="preserve">Sales Rank (of 12)</t>
  </si>
  <si>
    <t xml:space="preserve">🏷️ INDEX-MATCH across sheets</t>
  </si>
  <si>
    <t xml:space="preserve">Rating</t>
  </si>
  <si>
    <t xml:space="preserve">🏷️ Nested IF</t>
  </si>
  <si>
    <t xml:space="preserve">🎯 REGION SCORECARD</t>
  </si>
  <si>
    <t xml:space="preserve">Target (₹)</t>
  </si>
  <si>
    <t xml:space="preserve">Achievement %</t>
  </si>
  <si>
    <t xml:space="preserve">Assumption: targets are illustrative inputs (blue) set by the student.</t>
  </si>
  <si>
    <t xml:space="preserve">🧠 OTHER FUNCTIONS</t>
  </si>
  <si>
    <t xml:space="preserve">Total discount given</t>
  </si>
  <si>
    <t xml:space="preserve">🏷️ SUMPRODUCT</t>
  </si>
  <si>
    <t xml:space="preserve">Orders with discount ≥ 10%</t>
  </si>
  <si>
    <t xml:space="preserve">🏷️ COUNTIFS</t>
  </si>
  <si>
    <t xml:space="preserve">Average discount</t>
  </si>
  <si>
    <t xml:space="preserve">🏷️ AVERAGE</t>
  </si>
  <si>
    <t xml:space="preserve">Best month 🏅</t>
  </si>
  <si>
    <t xml:space="preserve">🏷️ INDEX + MATCH + MAX</t>
  </si>
  <si>
    <t xml:space="preserve">Best region 🌟</t>
  </si>
  <si>
    <t xml:space="preserve">Lookup with error handling</t>
  </si>
  <si>
    <t xml:space="preserve">🏷️ IFERROR + VLOOKUP</t>
  </si>
  <si>
    <t xml:space="preserve">Weekend orders</t>
  </si>
  <si>
    <t xml:space="preserve">🏷️ SUMPRODUCT + WEEKDAY</t>
  </si>
  <si>
    <t xml:space="preserve">📈 DATA VISUALIZATION  |  Charts (linked to 📊 Pivots)</t>
  </si>
  <si>
    <t xml:space="preserve">Conditional formatting (data bars 📊, colour scale 🎨, icon arrows ⬆️⬇️, top/bottom highlights) is applied on the 📊 Pivots sheet.</t>
  </si>
  <si>
    <t xml:space="preserve">📝 DOCUMENTATION</t>
  </si>
  <si>
    <t xml:space="preserve">Topic</t>
  </si>
  <si>
    <t xml:space="preserve">Details</t>
  </si>
  <si>
    <t xml:space="preserve">Sheet</t>
  </si>
  <si>
    <t xml:space="preserve">📌 Purpose</t>
  </si>
  <si>
    <t xml:space="preserve">Interactive sales dashboard built for the Final Practical Exam (3 hours).</t>
  </si>
  <si>
    <t xml:space="preserve">Sample retail sales data (300 orders, 12 products, 4 regions, year 2025). Generated to mimic a Kaggle-style sales file, because no download was possible here. To use a real Kaggle/UCI file, paste it into 📥 Raw_Data with the same 9 columns.</t>
  </si>
  <si>
    <t xml:space="preserve">🧹 Cleaning steps</t>
  </si>
  <si>
    <t xml:space="preserve">1) Removed duplicate Order IDs  2) TRIM + proper case on Region  3) Rows with blank Region dropped  4) Missing Quantity → product median  5) Missing Discount → 0%  6) Text dates/quantities converted to real dates/numbers. Counts in the Cleaning Log.</t>
  </si>
  <si>
    <t xml:space="preserve">🧮 Calculated columns</t>
  </si>
  <si>
    <t xml:space="preserve">Sales = Qty × Unit Price × (1 − Discount) · Margin % = INDEX-MATCH on category · Profit = Sales × Margin % · Month = MONTH()/TEXT().</t>
  </si>
  <si>
    <t xml:space="preserve">📊 Pivot tables</t>
  </si>
  <si>
    <t xml:space="preserve">Built with SUMIFS/COUNTIFS so they refresh automatically. For a native PivotTable: select Clean_Data → Insert → PivotTable.</t>
  </si>
  <si>
    <t xml:space="preserve">📏 Dynamic ranges</t>
  </si>
  <si>
    <t xml:space="preserve">Named ranges Dyn_* use OFFSET + COUNTA, so formulas grow automatically when rows are added to Clean_Data.</t>
  </si>
  <si>
    <t xml:space="preserve">Six charts on 📈 Charts and four on the dashboard; all linked to formula tables.</t>
  </si>
  <si>
    <t xml:space="preserve">🎛️ Dashboard filters</t>
  </si>
  <si>
    <t xml:space="preserve">Yellow dropdowns (Region, Category, Segment) drive every KPI and chart. 'All' is turned into the * wildcard in helper cells. To add a native Slicer in Excel: PivotTable → Insert Slicer / Timeline.</t>
  </si>
  <si>
    <t xml:space="preserve">🏷️ Naming conventions</t>
  </si>
  <si>
    <t xml:space="preserve">Sheets are numbered by task order with an emoji prefix. Named ranges start with Dyn_. Blue text = hardcoded assumption, black = formula, yellow fill = input cell.</t>
  </si>
  <si>
    <t xml:space="preserve">🏠 Cover</t>
  </si>
  <si>
    <t xml:space="preserve">⚠️ Assumptions</t>
  </si>
  <si>
    <t xml:space="preserve">Category margins and region targets on 🧮 Formulas are illustrative inputs. Currency is INR (₹). Data covers Jan–Dec 2025.</t>
  </si>
  <si>
    <t xml:space="preserve">💾 Saving</t>
  </si>
  <si>
    <t xml:space="preserve">Save every 15 minutes (Ctrl+S) and submit as DishaThakkar_ExcelDashboard.xlsx.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</si>
</sst>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₹#,##0"/>
    <numFmt numFmtId="166" formatCode="#,##0"/>
    <numFmt numFmtId="167" formatCode="0.0%"/>
    <numFmt numFmtId="168" formatCode="0.00%"/>
    <numFmt numFmtId="169" formatCode="General"/>
    <numFmt numFmtId="170" formatCode="\+0;\-0;0"/>
    <numFmt numFmtId="171" formatCode="yyyy\-mm\-dd"/>
    <numFmt numFmtId="172" formatCode="0%"/>
    <numFmt numFmtId="173" formatCode="dd\-mmm\-yyyy"/>
    <numFmt numFmtId="174" formatCode="\+0.0%;\-0.0%;0.0%"/>
    <numFmt numFmtId="175" formatCode="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000000"/>
      <name val="Arial"/>
      <family val="0"/>
      <charset val="1"/>
    </font>
    <font>
      <b val="true"/>
      <sz val="3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8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563C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9CA3A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15803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EAF2F8"/>
      </patternFill>
    </fill>
    <fill>
      <patternFill patternType="solid">
        <fgColor rgb="FF1F3864"/>
        <bgColor rgb="FF333333"/>
      </patternFill>
    </fill>
    <fill>
      <patternFill patternType="solid">
        <fgColor rgb="FF0F766E"/>
        <bgColor rgb="FF15803D"/>
      </patternFill>
    </fill>
    <fill>
      <patternFill patternType="solid">
        <fgColor rgb="FFEAF2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59E0B"/>
        <bgColor rgb="FFD4A017"/>
      </patternFill>
    </fill>
    <fill>
      <patternFill patternType="solid">
        <fgColor rgb="FF15803D"/>
        <bgColor rgb="FF0F766E"/>
      </patternFill>
    </fill>
    <fill>
      <patternFill patternType="solid">
        <fgColor rgb="FFB45309"/>
        <bgColor rgb="FFBE4B48"/>
      </patternFill>
    </fill>
    <fill>
      <patternFill patternType="solid">
        <fgColor rgb="FF7C3AED"/>
        <bgColor rgb="FF8064A2"/>
      </patternFill>
    </fill>
    <fill>
      <patternFill patternType="solid">
        <fgColor rgb="FFD4A017"/>
        <bgColor rgb="FFF59E0B"/>
      </patternFill>
    </fill>
    <fill>
      <patternFill patternType="solid">
        <fgColor rgb="FFB91C1C"/>
        <bgColor rgb="FFDC262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B91C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9C0006"/>
      <rgbColor rgb="FF15803D"/>
      <rgbColor rgb="FF000080"/>
      <rgbColor rgb="FF8064A2"/>
      <rgbColor rgb="FF800080"/>
      <rgbColor rgb="FF0F766E"/>
      <rgbColor rgb="FFBFBFBF"/>
      <rgbColor rgb="FF878787"/>
      <rgbColor rgb="FF4F81BD"/>
      <rgbColor rgb="FFBE4B48"/>
      <rgbColor rgb="FFFFF2CC"/>
      <rgbColor rgb="FFEAF2F8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563EB"/>
      <rgbColor rgb="FF33CCCC"/>
      <rgbColor rgb="FF9BBB59"/>
      <rgbColor rgb="FFD4A017"/>
      <rgbColor rgb="FFF59E0B"/>
      <rgbColor rgb="FFB45309"/>
      <rgbColor rgb="FF6B7280"/>
      <rgbColor rgb="FF9CA3AF"/>
      <rgbColor rgb="FF1F3864"/>
      <rgbColor rgb="FF16A34A"/>
      <rgbColor rgb="FF006100"/>
      <rgbColor rgb="FF333300"/>
      <rgbColor rgb="FFB91C1C"/>
      <rgbColor rgb="FFC0504D"/>
      <rgbColor rgb="FF7C3AE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📅 Monthly Sales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'📺 Dashboard'!C12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'📺 Dashboard'!$B$13:$B$24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'📺 Dashboard'!$C$13:$C$24</c:f>
              <c:numCache>
                <c:formatCode>\₹#,##0</c:formatCode>
                <c:ptCount val="12"/>
                <c:pt idx="0">
                  <c:v>354040.5</c:v>
                </c:pt>
                <c:pt idx="1">
                  <c:v>375093.5</c:v>
                </c:pt>
                <c:pt idx="2">
                  <c:v>549044.5</c:v>
                </c:pt>
                <c:pt idx="3">
                  <c:v>197726</c:v>
                </c:pt>
                <c:pt idx="4">
                  <c:v>542871</c:v>
                </c:pt>
                <c:pt idx="5">
                  <c:v>360075</c:v>
                </c:pt>
                <c:pt idx="6">
                  <c:v>701043</c:v>
                </c:pt>
                <c:pt idx="7">
                  <c:v>714873</c:v>
                </c:pt>
                <c:pt idx="8">
                  <c:v>398278</c:v>
                </c:pt>
                <c:pt idx="9">
                  <c:v>1130928.5</c:v>
                </c:pt>
                <c:pt idx="10">
                  <c:v>462319</c:v>
                </c:pt>
                <c:pt idx="11">
                  <c:v>727949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'📺 Dashboard'!D12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'📺 Dashboard'!$B$13:$B$24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'📺 Dashboard'!$D$13:$D$24</c:f>
              <c:numCache>
                <c:formatCode>\₹#,##0</c:formatCode>
                <c:ptCount val="12"/>
                <c:pt idx="0">
                  <c:v>71384.55</c:v>
                </c:pt>
                <c:pt idx="1">
                  <c:v>75165.05</c:v>
                </c:pt>
                <c:pt idx="2">
                  <c:v>108738.15</c:v>
                </c:pt>
                <c:pt idx="3">
                  <c:v>40950</c:v>
                </c:pt>
                <c:pt idx="4">
                  <c:v>104217.3</c:v>
                </c:pt>
                <c:pt idx="5">
                  <c:v>72913.3</c:v>
                </c:pt>
                <c:pt idx="6">
                  <c:v>132206.9</c:v>
                </c:pt>
                <c:pt idx="7">
                  <c:v>138237.7</c:v>
                </c:pt>
                <c:pt idx="8">
                  <c:v>78549.8</c:v>
                </c:pt>
                <c:pt idx="9">
                  <c:v>211676.55</c:v>
                </c:pt>
                <c:pt idx="10">
                  <c:v>92527.7</c:v>
                </c:pt>
                <c:pt idx="11">
                  <c:v>138996.7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309001"/>
        <c:axId val="56617371"/>
      </c:lineChart>
      <c:catAx>
        <c:axId val="35309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17371"/>
        <c:crosses val="autoZero"/>
        <c:auto val="1"/>
        <c:lblAlgn val="ctr"/>
        <c:lblOffset val="100"/>
        <c:noMultiLvlLbl val="0"/>
      </c:catAx>
      <c:valAx>
        <c:axId val="56617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09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🏆 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'📺 Dashboard'!G12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'📺 Dashboard'!$F$13:$F$24</c:f>
              <c:strCache>
                <c:ptCount val="12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Monitor</c:v>
                </c:pt>
                <c:pt idx="4">
                  <c:v>Office Chair</c:v>
                </c:pt>
                <c:pt idx="5">
                  <c:v>Desk</c:v>
                </c:pt>
                <c:pt idx="6">
                  <c:v>Bookcase</c:v>
                </c:pt>
                <c:pt idx="7">
                  <c:v>Lamp</c:v>
                </c:pt>
                <c:pt idx="8">
                  <c:v>Notebook</c:v>
                </c:pt>
                <c:pt idx="9">
                  <c:v>Printer Paper</c:v>
                </c:pt>
                <c:pt idx="10">
                  <c:v>Pen Set</c:v>
                </c:pt>
                <c:pt idx="11">
                  <c:v>Stapler</c:v>
                </c:pt>
              </c:strCache>
            </c:strRef>
          </c:cat>
          <c:val>
            <c:numRef>
              <c:f>'📺 Dashboard'!$G$13:$G$24</c:f>
              <c:numCache>
                <c:formatCode>\₹#,##0</c:formatCode>
                <c:ptCount val="12"/>
                <c:pt idx="0">
                  <c:v>2367750</c:v>
                </c:pt>
                <c:pt idx="1">
                  <c:v>1281500</c:v>
                </c:pt>
                <c:pt idx="2">
                  <c:v>240975</c:v>
                </c:pt>
                <c:pt idx="3">
                  <c:v>766500</c:v>
                </c:pt>
                <c:pt idx="4">
                  <c:v>320875</c:v>
                </c:pt>
                <c:pt idx="5">
                  <c:v>699600</c:v>
                </c:pt>
                <c:pt idx="6">
                  <c:v>499525</c:v>
                </c:pt>
                <c:pt idx="7">
                  <c:v>103770</c:v>
                </c:pt>
                <c:pt idx="8">
                  <c:v>21270</c:v>
                </c:pt>
                <c:pt idx="9">
                  <c:v>96367.5</c:v>
                </c:pt>
                <c:pt idx="10">
                  <c:v>69812.5</c:v>
                </c:pt>
                <c:pt idx="11">
                  <c:v>46296</c:v>
                </c:pt>
              </c:numCache>
            </c:numRef>
          </c:val>
        </c:ser>
        <c:gapWidth val="150"/>
        <c:overlap val="0"/>
        <c:axId val="78950045"/>
        <c:axId val="44265635"/>
      </c:barChart>
      <c:catAx>
        <c:axId val="789500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65635"/>
        <c:crosses val="autoZero"/>
        <c:auto val="1"/>
        <c:lblAlgn val="ctr"/>
        <c:lblOffset val="100"/>
        <c:noMultiLvlLbl val="0"/>
      </c:catAx>
      <c:valAx>
        <c:axId val="44265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500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🥧 Category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'📺 Dashboard'!J12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'📺 Dashboard'!$I$13:$I$15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'📺 Dashboard'!$J$13:$J$15</c:f>
              <c:numCache>
                <c:formatCode>\₹#,##0</c:formatCode>
                <c:ptCount val="3"/>
                <c:pt idx="0">
                  <c:v>4656725</c:v>
                </c:pt>
                <c:pt idx="1">
                  <c:v>1623770</c:v>
                </c:pt>
                <c:pt idx="2">
                  <c:v>233746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🌍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'📺 Dashboard'!J18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'📺 Dashboard'!$I$19:$I$22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'📺 Dashboard'!$J$19:$J$22</c:f>
              <c:numCache>
                <c:formatCode>\₹#,##0</c:formatCode>
                <c:ptCount val="4"/>
                <c:pt idx="0">
                  <c:v>1922759.5</c:v>
                </c:pt>
                <c:pt idx="1">
                  <c:v>1387188</c:v>
                </c:pt>
                <c:pt idx="2">
                  <c:v>1495776.5</c:v>
                </c:pt>
                <c:pt idx="3">
                  <c:v>1708517</c:v>
                </c:pt>
              </c:numCache>
            </c:numRef>
          </c:val>
        </c:ser>
        <c:gapWidth val="150"/>
        <c:overlap val="0"/>
        <c:axId val="62921955"/>
        <c:axId val="42315890"/>
      </c:barChart>
      <c:catAx>
        <c:axId val="629219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15890"/>
        <c:crosses val="autoZero"/>
        <c:auto val="1"/>
        <c:lblAlgn val="ctr"/>
        <c:lblOffset val="100"/>
        <c:noMultiLvlLbl val="0"/>
      </c:catAx>
      <c:valAx>
        <c:axId val="423158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219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🌍 Sales &amp; Profit by Region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Pivots'!D5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Pivots'!$A$6:$A$9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'📊 Pivots'!$D$6:$D$9</c:f>
              <c:numCache>
                <c:formatCode>\₹#,##0</c:formatCode>
                <c:ptCount val="4"/>
                <c:pt idx="0">
                  <c:v>1922759.5</c:v>
                </c:pt>
                <c:pt idx="1">
                  <c:v>1387188</c:v>
                </c:pt>
                <c:pt idx="2">
                  <c:v>1495776.5</c:v>
                </c:pt>
                <c:pt idx="3">
                  <c:v>1708517</c:v>
                </c:pt>
              </c:numCache>
            </c:numRef>
          </c:val>
        </c:ser>
        <c:ser>
          <c:idx val="1"/>
          <c:order val="1"/>
          <c:tx>
            <c:strRef>
              <c:f>'📊 Pivots'!E5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Pivots'!$A$6:$A$9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'📊 Pivots'!$E$6:$E$9</c:f>
              <c:numCache>
                <c:formatCode>\₹#,##0</c:formatCode>
                <c:ptCount val="4"/>
                <c:pt idx="0">
                  <c:v>369213.65</c:v>
                </c:pt>
                <c:pt idx="1">
                  <c:v>274524.4</c:v>
                </c:pt>
                <c:pt idx="2">
                  <c:v>294902.55</c:v>
                </c:pt>
                <c:pt idx="3">
                  <c:v>326923.1</c:v>
                </c:pt>
              </c:numCache>
            </c:numRef>
          </c:val>
        </c:ser>
        <c:gapWidth val="150"/>
        <c:overlap val="0"/>
        <c:axId val="67301789"/>
        <c:axId val="87940537"/>
      </c:barChart>
      <c:catAx>
        <c:axId val="673017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40537"/>
        <c:crosses val="autoZero"/>
        <c:auto val="1"/>
        <c:lblAlgn val="ctr"/>
        <c:lblOffset val="100"/>
        <c:noMultiLvlLbl val="0"/>
      </c:catAx>
      <c:valAx>
        <c:axId val="879405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017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📅 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'📊 Pivots'!C22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Pivots'!$B$23:$B$34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Pivots'!$C$23:$C$34</c:f>
              <c:numCache>
                <c:formatCode>\₹#,##0</c:formatCode>
                <c:ptCount val="12"/>
                <c:pt idx="0">
                  <c:v>354040.5</c:v>
                </c:pt>
                <c:pt idx="1">
                  <c:v>375093.5</c:v>
                </c:pt>
                <c:pt idx="2">
                  <c:v>549044.5</c:v>
                </c:pt>
                <c:pt idx="3">
                  <c:v>197726</c:v>
                </c:pt>
                <c:pt idx="4">
                  <c:v>542871</c:v>
                </c:pt>
                <c:pt idx="5">
                  <c:v>360075</c:v>
                </c:pt>
                <c:pt idx="6">
                  <c:v>701043</c:v>
                </c:pt>
                <c:pt idx="7">
                  <c:v>714873</c:v>
                </c:pt>
                <c:pt idx="8">
                  <c:v>398278</c:v>
                </c:pt>
                <c:pt idx="9">
                  <c:v>1130928.5</c:v>
                </c:pt>
                <c:pt idx="10">
                  <c:v>462319</c:v>
                </c:pt>
                <c:pt idx="11">
                  <c:v>727949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'📊 Pivots'!D22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Pivots'!$B$23:$B$34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Pivots'!$D$23:$D$34</c:f>
              <c:numCache>
                <c:formatCode>\₹#,##0</c:formatCode>
                <c:ptCount val="12"/>
                <c:pt idx="0">
                  <c:v>71384.55</c:v>
                </c:pt>
                <c:pt idx="1">
                  <c:v>75165.05</c:v>
                </c:pt>
                <c:pt idx="2">
                  <c:v>108738.15</c:v>
                </c:pt>
                <c:pt idx="3">
                  <c:v>40950</c:v>
                </c:pt>
                <c:pt idx="4">
                  <c:v>104217.3</c:v>
                </c:pt>
                <c:pt idx="5">
                  <c:v>72913.3</c:v>
                </c:pt>
                <c:pt idx="6">
                  <c:v>132206.9</c:v>
                </c:pt>
                <c:pt idx="7">
                  <c:v>138237.7</c:v>
                </c:pt>
                <c:pt idx="8">
                  <c:v>78549.8</c:v>
                </c:pt>
                <c:pt idx="9">
                  <c:v>211676.55</c:v>
                </c:pt>
                <c:pt idx="10">
                  <c:v>92527.7</c:v>
                </c:pt>
                <c:pt idx="11">
                  <c:v>138996.7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645720"/>
        <c:axId val="22715471"/>
      </c:lineChart>
      <c:catAx>
        <c:axId val="9464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15471"/>
        <c:crosses val="autoZero"/>
        <c:auto val="1"/>
        <c:lblAlgn val="ctr"/>
        <c:lblOffset val="100"/>
        <c:noMultiLvlLbl val="0"/>
      </c:catAx>
      <c:valAx>
        <c:axId val="22715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457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🥧 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Pivots'!F14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'📊 Pivots'!$A$15:$A$17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'📊 Pivots'!$F$15:$F$17</c:f>
              <c:numCache>
                <c:formatCode>\₹#,##0</c:formatCode>
                <c:ptCount val="3"/>
                <c:pt idx="0">
                  <c:v>4656725</c:v>
                </c:pt>
                <c:pt idx="1">
                  <c:v>1623770</c:v>
                </c:pt>
                <c:pt idx="2">
                  <c:v>233746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🧩 Category × Region Sales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Pivots'!B14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Pivots'!$A$15:$A$17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'📊 Pivots'!$B$15:$B$17</c:f>
              <c:numCache>
                <c:formatCode>\₹#,##0</c:formatCode>
                <c:ptCount val="3"/>
                <c:pt idx="0">
                  <c:v>1433975</c:v>
                </c:pt>
                <c:pt idx="1">
                  <c:v>444215</c:v>
                </c:pt>
                <c:pt idx="2">
                  <c:v>44569.5</c:v>
                </c:pt>
              </c:numCache>
            </c:numRef>
          </c:val>
        </c:ser>
        <c:ser>
          <c:idx val="1"/>
          <c:order val="1"/>
          <c:tx>
            <c:strRef>
              <c:f>'📊 Pivots'!C14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Pivots'!$A$15:$A$17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'📊 Pivots'!$C$15:$C$17</c:f>
              <c:numCache>
                <c:formatCode>\₹#,##0</c:formatCode>
                <c:ptCount val="3"/>
                <c:pt idx="0">
                  <c:v>864500</c:v>
                </c:pt>
                <c:pt idx="1">
                  <c:v>473650</c:v>
                </c:pt>
                <c:pt idx="2">
                  <c:v>49038</c:v>
                </c:pt>
              </c:numCache>
            </c:numRef>
          </c:val>
        </c:ser>
        <c:ser>
          <c:idx val="2"/>
          <c:order val="2"/>
          <c:tx>
            <c:strRef>
              <c:f>'📊 Pivots'!D14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Pivots'!$A$15:$A$17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'📊 Pivots'!$D$15:$D$17</c:f>
              <c:numCache>
                <c:formatCode>\₹#,##0</c:formatCode>
                <c:ptCount val="3"/>
                <c:pt idx="0">
                  <c:v>1006600</c:v>
                </c:pt>
                <c:pt idx="1">
                  <c:v>412980</c:v>
                </c:pt>
                <c:pt idx="2">
                  <c:v>76196.5</c:v>
                </c:pt>
              </c:numCache>
            </c:numRef>
          </c:val>
        </c:ser>
        <c:ser>
          <c:idx val="3"/>
          <c:order val="3"/>
          <c:tx>
            <c:strRef>
              <c:f>'📊 Pivots'!E14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Pivots'!$A$15:$A$17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'📊 Pivots'!$E$15:$E$17</c:f>
              <c:numCache>
                <c:formatCode>\₹#,##0</c:formatCode>
                <c:ptCount val="3"/>
                <c:pt idx="0">
                  <c:v>1351650</c:v>
                </c:pt>
                <c:pt idx="1">
                  <c:v>292925</c:v>
                </c:pt>
                <c:pt idx="2">
                  <c:v>63942</c:v>
                </c:pt>
              </c:numCache>
            </c:numRef>
          </c:val>
        </c:ser>
        <c:gapWidth val="150"/>
        <c:overlap val="0"/>
        <c:axId val="19624538"/>
        <c:axId val="55510767"/>
      </c:barChart>
      <c:catAx>
        <c:axId val="196245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10767"/>
        <c:crosses val="autoZero"/>
        <c:auto val="1"/>
        <c:lblAlgn val="ctr"/>
        <c:lblOffset val="100"/>
        <c:noMultiLvlLbl val="0"/>
      </c:catAx>
      <c:valAx>
        <c:axId val="555107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245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🏆 Sales by Product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Pivots'!D39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Pivots'!$A$40:$A$51</c:f>
              <c:strCache>
                <c:ptCount val="12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Monitor</c:v>
                </c:pt>
                <c:pt idx="4">
                  <c:v>Office Chair</c:v>
                </c:pt>
                <c:pt idx="5">
                  <c:v>Desk</c:v>
                </c:pt>
                <c:pt idx="6">
                  <c:v>Bookcase</c:v>
                </c:pt>
                <c:pt idx="7">
                  <c:v>Lamp</c:v>
                </c:pt>
                <c:pt idx="8">
                  <c:v>Notebook</c:v>
                </c:pt>
                <c:pt idx="9">
                  <c:v>Printer Paper</c:v>
                </c:pt>
                <c:pt idx="10">
                  <c:v>Pen Set</c:v>
                </c:pt>
                <c:pt idx="11">
                  <c:v>Stapler</c:v>
                </c:pt>
              </c:strCache>
            </c:strRef>
          </c:cat>
          <c:val>
            <c:numRef>
              <c:f>'📊 Pivots'!$D$40:$D$51</c:f>
              <c:numCache>
                <c:formatCode>\₹#,##0</c:formatCode>
                <c:ptCount val="12"/>
                <c:pt idx="0">
                  <c:v>2367750</c:v>
                </c:pt>
                <c:pt idx="1">
                  <c:v>1281500</c:v>
                </c:pt>
                <c:pt idx="2">
                  <c:v>240975</c:v>
                </c:pt>
                <c:pt idx="3">
                  <c:v>766500</c:v>
                </c:pt>
                <c:pt idx="4">
                  <c:v>320875</c:v>
                </c:pt>
                <c:pt idx="5">
                  <c:v>699600</c:v>
                </c:pt>
                <c:pt idx="6">
                  <c:v>499525</c:v>
                </c:pt>
                <c:pt idx="7">
                  <c:v>103770</c:v>
                </c:pt>
                <c:pt idx="8">
                  <c:v>21270</c:v>
                </c:pt>
                <c:pt idx="9">
                  <c:v>96367.5</c:v>
                </c:pt>
                <c:pt idx="10">
                  <c:v>69812.5</c:v>
                </c:pt>
                <c:pt idx="11">
                  <c:v>46296</c:v>
                </c:pt>
              </c:numCache>
            </c:numRef>
          </c:val>
        </c:ser>
        <c:gapWidth val="150"/>
        <c:overlap val="0"/>
        <c:axId val="43842655"/>
        <c:axId val="52939014"/>
      </c:barChart>
      <c:catAx>
        <c:axId val="4384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39014"/>
        <c:crosses val="autoZero"/>
        <c:auto val="1"/>
        <c:lblAlgn val="ctr"/>
        <c:lblOffset val="100"/>
        <c:noMultiLvlLbl val="0"/>
      </c:catAx>
      <c:valAx>
        <c:axId val="529390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426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👥 Sales by Customer Segment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Pivots'!C55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Pivots'!$A$56:$A$58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'📊 Pivots'!$C$56:$C$58</c:f>
              <c:numCache>
                <c:formatCode>\₹#,##0</c:formatCode>
                <c:ptCount val="3"/>
                <c:pt idx="0">
                  <c:v>2524544.5</c:v>
                </c:pt>
                <c:pt idx="1">
                  <c:v>2207108</c:v>
                </c:pt>
                <c:pt idx="2">
                  <c:v>1782588.5</c:v>
                </c:pt>
              </c:numCache>
            </c:numRef>
          </c:val>
        </c:ser>
        <c:gapWidth val="150"/>
        <c:overlap val="0"/>
        <c:axId val="28977070"/>
        <c:axId val="97632483"/>
      </c:barChart>
      <c:catAx>
        <c:axId val="289770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32483"/>
        <c:crosses val="autoZero"/>
        <c:auto val="1"/>
        <c:lblAlgn val="ctr"/>
        <c:lblOffset val="100"/>
        <c:noMultiLvlLbl val="0"/>
      </c:catAx>
      <c:valAx>
        <c:axId val="97632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770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0</xdr:rowOff>
    </xdr:from>
    <xdr:to>
      <xdr:col>6</xdr:col>
      <xdr:colOff>637920</xdr:colOff>
      <xdr:row>42</xdr:row>
      <xdr:rowOff>11880</xdr:rowOff>
    </xdr:to>
    <xdr:graphicFrame>
      <xdr:nvGraphicFramePr>
        <xdr:cNvPr id="0" name="Chart 1"/>
        <xdr:cNvGraphicFramePr/>
      </xdr:nvGraphicFramePr>
      <xdr:xfrm>
        <a:off x="281880" y="5229360"/>
        <a:ext cx="52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12</xdr:col>
      <xdr:colOff>638280</xdr:colOff>
      <xdr:row>42</xdr:row>
      <xdr:rowOff>11880</xdr:rowOff>
    </xdr:to>
    <xdr:graphicFrame>
      <xdr:nvGraphicFramePr>
        <xdr:cNvPr id="1" name="Chart 2"/>
        <xdr:cNvGraphicFramePr/>
      </xdr:nvGraphicFramePr>
      <xdr:xfrm>
        <a:off x="5779800" y="5229360"/>
        <a:ext cx="52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6</xdr:col>
      <xdr:colOff>637920</xdr:colOff>
      <xdr:row>60</xdr:row>
      <xdr:rowOff>11880</xdr:rowOff>
    </xdr:to>
    <xdr:graphicFrame>
      <xdr:nvGraphicFramePr>
        <xdr:cNvPr id="2" name="Chart 3"/>
        <xdr:cNvGraphicFramePr/>
      </xdr:nvGraphicFramePr>
      <xdr:xfrm>
        <a:off x="281880" y="8658360"/>
        <a:ext cx="52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44</xdr:row>
      <xdr:rowOff>0</xdr:rowOff>
    </xdr:from>
    <xdr:to>
      <xdr:col>12</xdr:col>
      <xdr:colOff>638280</xdr:colOff>
      <xdr:row>60</xdr:row>
      <xdr:rowOff>11880</xdr:rowOff>
    </xdr:to>
    <xdr:graphicFrame>
      <xdr:nvGraphicFramePr>
        <xdr:cNvPr id="3" name="Chart 4"/>
        <xdr:cNvGraphicFramePr/>
      </xdr:nvGraphicFramePr>
      <xdr:xfrm>
        <a:off x="5779800" y="8658360"/>
        <a:ext cx="52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8</xdr:col>
      <xdr:colOff>507600</xdr:colOff>
      <xdr:row>18</xdr:row>
      <xdr:rowOff>172440</xdr:rowOff>
    </xdr:to>
    <xdr:graphicFrame>
      <xdr:nvGraphicFramePr>
        <xdr:cNvPr id="4" name="Chart 1"/>
        <xdr:cNvGraphicFramePr/>
      </xdr:nvGraphicFramePr>
      <xdr:xfrm>
        <a:off x="0" y="571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</xdr:row>
      <xdr:rowOff>160920</xdr:rowOff>
    </xdr:from>
    <xdr:to>
      <xdr:col>16</xdr:col>
      <xdr:colOff>507600</xdr:colOff>
      <xdr:row>18</xdr:row>
      <xdr:rowOff>172440</xdr:rowOff>
    </xdr:to>
    <xdr:graphicFrame>
      <xdr:nvGraphicFramePr>
        <xdr:cNvPr id="5" name="Chart 2"/>
        <xdr:cNvGraphicFramePr/>
      </xdr:nvGraphicFramePr>
      <xdr:xfrm>
        <a:off x="4892040" y="571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8</xdr:col>
      <xdr:colOff>507600</xdr:colOff>
      <xdr:row>36</xdr:row>
      <xdr:rowOff>172440</xdr:rowOff>
    </xdr:to>
    <xdr:graphicFrame>
      <xdr:nvGraphicFramePr>
        <xdr:cNvPr id="6" name="Chart 3"/>
        <xdr:cNvGraphicFramePr/>
      </xdr:nvGraphicFramePr>
      <xdr:xfrm>
        <a:off x="0" y="4000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20</xdr:row>
      <xdr:rowOff>160920</xdr:rowOff>
    </xdr:from>
    <xdr:to>
      <xdr:col>16</xdr:col>
      <xdr:colOff>507600</xdr:colOff>
      <xdr:row>36</xdr:row>
      <xdr:rowOff>172440</xdr:rowOff>
    </xdr:to>
    <xdr:graphicFrame>
      <xdr:nvGraphicFramePr>
        <xdr:cNvPr id="7" name="Chart 4"/>
        <xdr:cNvGraphicFramePr/>
      </xdr:nvGraphicFramePr>
      <xdr:xfrm>
        <a:off x="4892040" y="4000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38</xdr:row>
      <xdr:rowOff>160920</xdr:rowOff>
    </xdr:from>
    <xdr:to>
      <xdr:col>8</xdr:col>
      <xdr:colOff>507600</xdr:colOff>
      <xdr:row>55</xdr:row>
      <xdr:rowOff>162000</xdr:rowOff>
    </xdr:to>
    <xdr:graphicFrame>
      <xdr:nvGraphicFramePr>
        <xdr:cNvPr id="8" name="Chart 5"/>
        <xdr:cNvGraphicFramePr/>
      </xdr:nvGraphicFramePr>
      <xdr:xfrm>
        <a:off x="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38</xdr:row>
      <xdr:rowOff>160920</xdr:rowOff>
    </xdr:from>
    <xdr:to>
      <xdr:col>16</xdr:col>
      <xdr:colOff>507600</xdr:colOff>
      <xdr:row>55</xdr:row>
      <xdr:rowOff>162000</xdr:rowOff>
    </xdr:to>
    <xdr:graphicFrame>
      <xdr:nvGraphicFramePr>
        <xdr:cNvPr id="9" name="Chart 6"/>
        <xdr:cNvGraphicFramePr/>
      </xdr:nvGraphicFramePr>
      <xdr:xfrm>
        <a:off x="489204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3"/>
  </cols>
  <sheetData>
    <row r="1" customFormat="false" ht="33.75" hidden="false" customHeight="tru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B2" s="2" t="s">
        <v>1</v>
      </c>
      <c r="C2" s="2"/>
      <c r="D2" s="2"/>
    </row>
    <row r="3" customFormat="false" ht="15" hidden="false" customHeight="false" outlineLevel="0" collapsed="false">
      <c r="B3" s="2"/>
      <c r="C3" s="2"/>
      <c r="D3" s="2"/>
    </row>
    <row r="4" customFormat="false" ht="15" hidden="false" customHeight="false" outlineLevel="0" collapsed="false">
      <c r="B4" s="2"/>
      <c r="C4" s="2"/>
      <c r="D4" s="2"/>
    </row>
    <row r="5" customFormat="false" ht="15" hidden="false" customHeight="false" outlineLevel="0" collapsed="false">
      <c r="B5" s="2"/>
      <c r="C5" s="2"/>
      <c r="D5" s="2"/>
    </row>
    <row r="6" customFormat="false" ht="15" hidden="false" customHeight="false" outlineLevel="0" collapsed="false">
      <c r="B6" s="3" t="s">
        <v>2</v>
      </c>
      <c r="C6" s="3"/>
      <c r="D6" s="3"/>
    </row>
    <row r="7" customFormat="false" ht="15" hidden="false" customHeight="false" outlineLevel="0" collapsed="false">
      <c r="B7" s="3"/>
      <c r="C7" s="3"/>
      <c r="D7" s="3"/>
    </row>
    <row r="8" customFormat="false" ht="30" hidden="false" customHeight="true" outlineLevel="0" collapsed="false">
      <c r="B8" s="4" t="s">
        <v>3</v>
      </c>
      <c r="C8" s="4"/>
      <c r="D8" s="4"/>
    </row>
    <row r="10" customFormat="false" ht="21.75" hidden="false" customHeight="true" outlineLevel="0" collapsed="false">
      <c r="B10" s="5" t="s">
        <v>4</v>
      </c>
      <c r="C10" s="6" t="s">
        <v>5</v>
      </c>
      <c r="D10" s="6"/>
    </row>
    <row r="11" customFormat="false" ht="21.75" hidden="false" customHeight="true" outlineLevel="0" collapsed="false">
      <c r="B11" s="5" t="s">
        <v>6</v>
      </c>
      <c r="C11" s="6" t="s">
        <v>7</v>
      </c>
      <c r="D11" s="6"/>
    </row>
    <row r="12" customFormat="false" ht="21.75" hidden="false" customHeight="true" outlineLevel="0" collapsed="false">
      <c r="B12" s="5" t="s">
        <v>8</v>
      </c>
      <c r="C12" s="7" t="s">
        <v>9</v>
      </c>
      <c r="D12" s="7"/>
    </row>
    <row r="13" customFormat="false" ht="21.75" hidden="false" customHeight="true" outlineLevel="0" collapsed="false">
      <c r="B13" s="5" t="s">
        <v>10</v>
      </c>
      <c r="C13" s="7" t="s">
        <v>11</v>
      </c>
      <c r="D13" s="7"/>
    </row>
    <row r="14" customFormat="false" ht="21.75" hidden="false" customHeight="true" outlineLevel="0" collapsed="false">
      <c r="B14" s="5" t="s">
        <v>12</v>
      </c>
      <c r="C14" s="7" t="s">
        <v>13</v>
      </c>
      <c r="D14" s="7"/>
    </row>
    <row r="15" customFormat="false" ht="21.75" hidden="false" customHeight="true" outlineLevel="0" collapsed="false">
      <c r="B15" s="5" t="s">
        <v>14</v>
      </c>
      <c r="C15" s="7" t="s">
        <v>15</v>
      </c>
      <c r="D15" s="7"/>
    </row>
    <row r="16" customFormat="false" ht="21.75" hidden="false" customHeight="true" outlineLevel="0" collapsed="false">
      <c r="B16" s="5" t="s">
        <v>16</v>
      </c>
      <c r="C16" s="7" t="s">
        <v>17</v>
      </c>
      <c r="D16" s="7"/>
    </row>
    <row r="18" customFormat="false" ht="15" hidden="false" customHeight="false" outlineLevel="0" collapsed="false">
      <c r="B18" s="8" t="s">
        <v>18</v>
      </c>
    </row>
    <row r="19" customFormat="false" ht="15" hidden="false" customHeight="false" outlineLevel="0" collapsed="false">
      <c r="B19" s="9" t="s">
        <v>19</v>
      </c>
      <c r="C19" s="9"/>
      <c r="D19" s="9"/>
    </row>
    <row r="20" customFormat="false" ht="19.5" hidden="false" customHeight="true" outlineLevel="0" collapsed="false">
      <c r="B20" s="10" t="s">
        <v>20</v>
      </c>
      <c r="C20" s="11" t="s">
        <v>21</v>
      </c>
      <c r="D20" s="11"/>
    </row>
    <row r="21" customFormat="false" ht="19.5" hidden="false" customHeight="true" outlineLevel="0" collapsed="false">
      <c r="B21" s="10" t="s">
        <v>22</v>
      </c>
      <c r="C21" s="11" t="s">
        <v>23</v>
      </c>
      <c r="D21" s="11"/>
    </row>
    <row r="22" customFormat="false" ht="19.5" hidden="false" customHeight="true" outlineLevel="0" collapsed="false">
      <c r="B22" s="10" t="s">
        <v>24</v>
      </c>
      <c r="C22" s="11" t="s">
        <v>25</v>
      </c>
      <c r="D22" s="11"/>
    </row>
    <row r="23" customFormat="false" ht="19.5" hidden="false" customHeight="true" outlineLevel="0" collapsed="false">
      <c r="B23" s="10" t="s">
        <v>26</v>
      </c>
      <c r="C23" s="11" t="s">
        <v>27</v>
      </c>
      <c r="D23" s="11"/>
    </row>
    <row r="24" customFormat="false" ht="19.5" hidden="false" customHeight="true" outlineLevel="0" collapsed="false">
      <c r="B24" s="10" t="s">
        <v>28</v>
      </c>
      <c r="C24" s="11" t="s">
        <v>29</v>
      </c>
      <c r="D24" s="11"/>
    </row>
    <row r="25" customFormat="false" ht="19.5" hidden="false" customHeight="true" outlineLevel="0" collapsed="false">
      <c r="B25" s="10" t="s">
        <v>30</v>
      </c>
      <c r="C25" s="11" t="s">
        <v>31</v>
      </c>
      <c r="D25" s="11"/>
    </row>
    <row r="26" customFormat="false" ht="19.5" hidden="false" customHeight="true" outlineLevel="0" collapsed="false">
      <c r="B26" s="10" t="s">
        <v>32</v>
      </c>
      <c r="C26" s="11" t="s">
        <v>33</v>
      </c>
      <c r="D26" s="11"/>
    </row>
    <row r="27" customFormat="false" ht="19.5" hidden="false" customHeight="true" outlineLevel="0" collapsed="false">
      <c r="B27" s="10" t="s">
        <v>34</v>
      </c>
      <c r="C27" s="11" t="s">
        <v>35</v>
      </c>
      <c r="D27" s="11"/>
    </row>
    <row r="28" customFormat="false" ht="19.5" hidden="false" customHeight="true" outlineLevel="0" collapsed="false">
      <c r="B28" s="10" t="s">
        <v>36</v>
      </c>
      <c r="C28" s="11" t="s">
        <v>37</v>
      </c>
      <c r="D28" s="11"/>
    </row>
    <row r="30" customFormat="false" ht="15" hidden="false" customHeight="false" outlineLevel="0" collapsed="false">
      <c r="B30" s="12" t="s">
        <v>38</v>
      </c>
      <c r="C30" s="12"/>
      <c r="D30" s="12"/>
    </row>
    <row r="31" customFormat="false" ht="30" hidden="false" customHeight="true" outlineLevel="0" collapsed="false">
      <c r="B31" s="13" t="s">
        <v>39</v>
      </c>
      <c r="C31" s="13"/>
      <c r="D31" s="13"/>
    </row>
    <row r="32" customFormat="false" ht="30" hidden="false" customHeight="true" outlineLevel="0" collapsed="false">
      <c r="B32" s="4" t="s">
        <v>40</v>
      </c>
      <c r="C32" s="4"/>
      <c r="D32" s="4"/>
    </row>
  </sheetData>
  <mergeCells count="24">
    <mergeCell ref="B1:D1"/>
    <mergeCell ref="B2:D5"/>
    <mergeCell ref="B6:D7"/>
    <mergeCell ref="B8:D8"/>
    <mergeCell ref="C10:D10"/>
    <mergeCell ref="C11:D11"/>
    <mergeCell ref="C12:D12"/>
    <mergeCell ref="C13:D13"/>
    <mergeCell ref="C14:D14"/>
    <mergeCell ref="C15:D15"/>
    <mergeCell ref="C16:D16"/>
    <mergeCell ref="B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B30:D30"/>
    <mergeCell ref="B31:D31"/>
    <mergeCell ref="B32:D32"/>
  </mergeCells>
  <hyperlinks>
    <hyperlink ref="B20" location="'📺 Dashboard'!A1" display="📺 Dashboard"/>
    <hyperlink ref="B21" location="'📋 Instructions'!A1" display="📋 Instructions"/>
    <hyperlink ref="B22" location="'✅ Tasks'!A1" display="✅ Tasks"/>
    <hyperlink ref="B23" location="'📥 Raw_Data'!A1" display="📥 Raw_Data"/>
    <hyperlink ref="B24" location="'🧹 Clean_Data'!A1" display="🧹 Clean_Data"/>
    <hyperlink ref="B25" location="'📊 Pivots'!A1" display="📊 Pivots"/>
    <hyperlink ref="B26" location="'🧮 Formulas'!A1" display="🧮 Formulas"/>
    <hyperlink ref="B27" location="'📈 Charts'!A1" display="📈 Charts"/>
    <hyperlink ref="B28" location="'📝 Documentation'!A1" display="📝 Documenta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A1:O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13" min="2" style="0" width="13"/>
    <col collapsed="false" customWidth="true" hidden="true" outlineLevel="0" max="15" min="15" style="0" width="14"/>
  </cols>
  <sheetData>
    <row r="1" customFormat="false" ht="15" hidden="false" customHeight="false" outlineLevel="0" collapsed="false">
      <c r="B1" s="14" t="s">
        <v>41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5" hidden="false" customHeight="false" outlineLevel="0" collapsed="false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21.75" hidden="false" customHeight="true" outlineLevel="0" collapsed="false">
      <c r="B3" s="15" t="s">
        <v>42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O3" s="16" t="s">
        <v>43</v>
      </c>
    </row>
    <row r="4" customFormat="false" ht="15" hidden="false" customHeight="false" outlineLevel="0" collapsed="false">
      <c r="B4" s="17" t="s">
        <v>44</v>
      </c>
      <c r="C4" s="18" t="s">
        <v>45</v>
      </c>
      <c r="E4" s="17" t="s">
        <v>46</v>
      </c>
      <c r="F4" s="18" t="s">
        <v>45</v>
      </c>
      <c r="H4" s="17" t="s">
        <v>47</v>
      </c>
      <c r="I4" s="18" t="s">
        <v>45</v>
      </c>
      <c r="O4" s="19" t="str">
        <f aca="false">IF(C4="All","*",C4)</f>
        <v>*</v>
      </c>
    </row>
    <row r="5" customFormat="false" ht="30" hidden="false" customHeight="true" outlineLevel="0" collapsed="false">
      <c r="B5" s="20" t="s">
        <v>48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O5" s="19" t="str">
        <f aca="false">IF(F4="All","*",F4)</f>
        <v>*</v>
      </c>
    </row>
    <row r="6" customFormat="false" ht="15" hidden="false" customHeight="false" outlineLevel="0" collapsed="false">
      <c r="B6" s="8" t="s">
        <v>49</v>
      </c>
      <c r="O6" s="19" t="str">
        <f aca="false">IF(I4="All","*",I4)</f>
        <v>*</v>
      </c>
    </row>
    <row r="7" customFormat="false" ht="15" hidden="false" customHeight="false" outlineLevel="0" collapsed="false">
      <c r="B7" s="21" t="s">
        <v>50</v>
      </c>
      <c r="C7" s="21"/>
      <c r="D7" s="22" t="s">
        <v>51</v>
      </c>
      <c r="E7" s="22"/>
      <c r="F7" s="23" t="s">
        <v>52</v>
      </c>
      <c r="G7" s="23"/>
      <c r="H7" s="24" t="s">
        <v>53</v>
      </c>
      <c r="I7" s="24"/>
      <c r="J7" s="25" t="s">
        <v>54</v>
      </c>
      <c r="K7" s="25"/>
    </row>
    <row r="8" customFormat="false" ht="15" hidden="false" customHeight="false" outlineLevel="0" collapsed="false">
      <c r="B8" s="26" t="n">
        <f aca="true">SUMIFS(Dyn_Sales,Dyn_Region,$O$4,Dyn_Category,$O$5,Dyn_Segment,$O$6)</f>
        <v>6514241</v>
      </c>
      <c r="C8" s="26"/>
      <c r="D8" s="27" t="n">
        <f aca="true">SUMIFS(Dyn_Profit,Dyn_Region,$O$4,Dyn_Category,$O$5,Dyn_Segment,$O$6)</f>
        <v>1265563.7</v>
      </c>
      <c r="E8" s="27"/>
      <c r="F8" s="28" t="n">
        <f aca="true">COUNTIFS(Dyn_Region,$O$4,Dyn_Category,$O$5,Dyn_Segment,$O$6)</f>
        <v>294</v>
      </c>
      <c r="G8" s="28"/>
      <c r="H8" s="29" t="n">
        <f aca="false">IFERROR(B8/F8,0)</f>
        <v>22157.2823129252</v>
      </c>
      <c r="I8" s="29"/>
      <c r="J8" s="30" t="n">
        <f aca="false">IFERROR(D8/B8,0)</f>
        <v>0.194276462906423</v>
      </c>
      <c r="K8" s="30"/>
    </row>
    <row r="9" customFormat="false" ht="15" hidden="false" customHeight="false" outlineLevel="0" collapsed="false">
      <c r="B9" s="26"/>
      <c r="C9" s="26"/>
      <c r="D9" s="27"/>
      <c r="E9" s="27"/>
      <c r="F9" s="28"/>
      <c r="G9" s="28"/>
      <c r="H9" s="29"/>
      <c r="I9" s="29"/>
      <c r="J9" s="30"/>
      <c r="K9" s="30"/>
    </row>
    <row r="11" customFormat="false" ht="15" hidden="false" customHeight="false" outlineLevel="0" collapsed="false">
      <c r="B11" s="31" t="s">
        <v>55</v>
      </c>
      <c r="F11" s="31" t="s">
        <v>56</v>
      </c>
      <c r="I11" s="31" t="s">
        <v>57</v>
      </c>
    </row>
    <row r="12" customFormat="false" ht="15" hidden="false" customHeight="false" outlineLevel="0" collapsed="false">
      <c r="B12" s="32" t="s">
        <v>58</v>
      </c>
      <c r="C12" s="32" t="s">
        <v>59</v>
      </c>
      <c r="D12" s="32" t="s">
        <v>60</v>
      </c>
      <c r="F12" s="32" t="s">
        <v>61</v>
      </c>
      <c r="G12" s="32" t="s">
        <v>59</v>
      </c>
      <c r="I12" s="32" t="s">
        <v>62</v>
      </c>
      <c r="J12" s="32" t="s">
        <v>59</v>
      </c>
    </row>
    <row r="13" customFormat="false" ht="15" hidden="false" customHeight="false" outlineLevel="0" collapsed="false">
      <c r="A13" s="33" t="n">
        <v>1</v>
      </c>
      <c r="B13" s="34" t="str">
        <f aca="false">TEXT(DATE(2025,A13,1),"mmm")</f>
        <v>Jan</v>
      </c>
      <c r="C13" s="35" t="n">
        <f aca="true">SUMIFS(Dyn_Sales,Dyn_MonthNo,$A13,Dyn_Region,$O$4,Dyn_Category,$O$5,Dyn_Segment,$O$6)</f>
        <v>354040.5</v>
      </c>
      <c r="D13" s="35" t="n">
        <f aca="true">SUMIFS(Dyn_Profit,Dyn_MonthNo,$A13,Dyn_Region,$O$4,Dyn_Category,$O$5,Dyn_Segment,$O$6)</f>
        <v>71384.55</v>
      </c>
      <c r="F13" s="11" t="str">
        <f aca="false">'🧮 Formulas'!A6</f>
        <v>Laptop</v>
      </c>
      <c r="G13" s="35" t="n">
        <f aca="true">SUMIFS(Dyn_Sales,Dyn_Product,$F13,Dyn_Region,$O$4,Dyn_Category,$O$5,Dyn_Segment,$O$6)</f>
        <v>2367750</v>
      </c>
      <c r="I13" s="11" t="str">
        <f aca="false">'🧮 Formulas'!E6</f>
        <v>Technology</v>
      </c>
      <c r="J13" s="35" t="n">
        <f aca="true">SUMIFS(Dyn_Sales,Dyn_Category,$I13,Dyn_Region,$O$4,Dyn_Category,$O$5,Dyn_Segment,$O$6)</f>
        <v>4656725</v>
      </c>
    </row>
    <row r="14" customFormat="false" ht="15" hidden="false" customHeight="false" outlineLevel="0" collapsed="false">
      <c r="A14" s="33" t="n">
        <v>2</v>
      </c>
      <c r="B14" s="34" t="str">
        <f aca="false">TEXT(DATE(2025,A14,1),"mmm")</f>
        <v>Feb</v>
      </c>
      <c r="C14" s="35" t="n">
        <f aca="true">SUMIFS(Dyn_Sales,Dyn_MonthNo,$A14,Dyn_Region,$O$4,Dyn_Category,$O$5,Dyn_Segment,$O$6)</f>
        <v>375093.5</v>
      </c>
      <c r="D14" s="35" t="n">
        <f aca="true">SUMIFS(Dyn_Profit,Dyn_MonthNo,$A14,Dyn_Region,$O$4,Dyn_Category,$O$5,Dyn_Segment,$O$6)</f>
        <v>75165.05</v>
      </c>
      <c r="F14" s="11" t="str">
        <f aca="false">'🧮 Formulas'!A7</f>
        <v>Smartphone</v>
      </c>
      <c r="G14" s="35" t="n">
        <f aca="true">SUMIFS(Dyn_Sales,Dyn_Product,$F14,Dyn_Region,$O$4,Dyn_Category,$O$5,Dyn_Segment,$O$6)</f>
        <v>1281500</v>
      </c>
      <c r="I14" s="11" t="str">
        <f aca="false">'🧮 Formulas'!E7</f>
        <v>Furniture</v>
      </c>
      <c r="J14" s="35" t="n">
        <f aca="true">SUMIFS(Dyn_Sales,Dyn_Category,$I14,Dyn_Region,$O$4,Dyn_Category,$O$5,Dyn_Segment,$O$6)</f>
        <v>1623770</v>
      </c>
    </row>
    <row r="15" customFormat="false" ht="15" hidden="false" customHeight="false" outlineLevel="0" collapsed="false">
      <c r="A15" s="33" t="n">
        <v>3</v>
      </c>
      <c r="B15" s="34" t="str">
        <f aca="false">TEXT(DATE(2025,A15,1),"mmm")</f>
        <v>Mar</v>
      </c>
      <c r="C15" s="35" t="n">
        <f aca="true">SUMIFS(Dyn_Sales,Dyn_MonthNo,$A15,Dyn_Region,$O$4,Dyn_Category,$O$5,Dyn_Segment,$O$6)</f>
        <v>549044.5</v>
      </c>
      <c r="D15" s="35" t="n">
        <f aca="true">SUMIFS(Dyn_Profit,Dyn_MonthNo,$A15,Dyn_Region,$O$4,Dyn_Category,$O$5,Dyn_Segment,$O$6)</f>
        <v>108738.15</v>
      </c>
      <c r="F15" s="11" t="str">
        <f aca="false">'🧮 Formulas'!A8</f>
        <v>Headphones</v>
      </c>
      <c r="G15" s="35" t="n">
        <f aca="true">SUMIFS(Dyn_Sales,Dyn_Product,$F15,Dyn_Region,$O$4,Dyn_Category,$O$5,Dyn_Segment,$O$6)</f>
        <v>240975</v>
      </c>
      <c r="I15" s="11" t="str">
        <f aca="false">'🧮 Formulas'!E8</f>
        <v>Office Supplies</v>
      </c>
      <c r="J15" s="35" t="n">
        <f aca="true">SUMIFS(Dyn_Sales,Dyn_Category,$I15,Dyn_Region,$O$4,Dyn_Category,$O$5,Dyn_Segment,$O$6)</f>
        <v>233746</v>
      </c>
    </row>
    <row r="16" customFormat="false" ht="15" hidden="false" customHeight="false" outlineLevel="0" collapsed="false">
      <c r="A16" s="33" t="n">
        <v>4</v>
      </c>
      <c r="B16" s="34" t="str">
        <f aca="false">TEXT(DATE(2025,A16,1),"mmm")</f>
        <v>Apr</v>
      </c>
      <c r="C16" s="35" t="n">
        <f aca="true">SUMIFS(Dyn_Sales,Dyn_MonthNo,$A16,Dyn_Region,$O$4,Dyn_Category,$O$5,Dyn_Segment,$O$6)</f>
        <v>197726</v>
      </c>
      <c r="D16" s="35" t="n">
        <f aca="true">SUMIFS(Dyn_Profit,Dyn_MonthNo,$A16,Dyn_Region,$O$4,Dyn_Category,$O$5,Dyn_Segment,$O$6)</f>
        <v>40950</v>
      </c>
      <c r="F16" s="11" t="str">
        <f aca="false">'🧮 Formulas'!A9</f>
        <v>Monitor</v>
      </c>
      <c r="G16" s="35" t="n">
        <f aca="true">SUMIFS(Dyn_Sales,Dyn_Product,$F16,Dyn_Region,$O$4,Dyn_Category,$O$5,Dyn_Segment,$O$6)</f>
        <v>766500</v>
      </c>
    </row>
    <row r="17" customFormat="false" ht="15" hidden="false" customHeight="false" outlineLevel="0" collapsed="false">
      <c r="A17" s="33" t="n">
        <v>5</v>
      </c>
      <c r="B17" s="34" t="str">
        <f aca="false">TEXT(DATE(2025,A17,1),"mmm")</f>
        <v>May</v>
      </c>
      <c r="C17" s="35" t="n">
        <f aca="true">SUMIFS(Dyn_Sales,Dyn_MonthNo,$A17,Dyn_Region,$O$4,Dyn_Category,$O$5,Dyn_Segment,$O$6)</f>
        <v>542871</v>
      </c>
      <c r="D17" s="35" t="n">
        <f aca="true">SUMIFS(Dyn_Profit,Dyn_MonthNo,$A17,Dyn_Region,$O$4,Dyn_Category,$O$5,Dyn_Segment,$O$6)</f>
        <v>104217.3</v>
      </c>
      <c r="F17" s="11" t="str">
        <f aca="false">'🧮 Formulas'!A10</f>
        <v>Office Chair</v>
      </c>
      <c r="G17" s="35" t="n">
        <f aca="true">SUMIFS(Dyn_Sales,Dyn_Product,$F17,Dyn_Region,$O$4,Dyn_Category,$O$5,Dyn_Segment,$O$6)</f>
        <v>320875</v>
      </c>
      <c r="I17" s="31" t="s">
        <v>63</v>
      </c>
    </row>
    <row r="18" customFormat="false" ht="15" hidden="false" customHeight="false" outlineLevel="0" collapsed="false">
      <c r="A18" s="33" t="n">
        <v>6</v>
      </c>
      <c r="B18" s="34" t="str">
        <f aca="false">TEXT(DATE(2025,A18,1),"mmm")</f>
        <v>Jun</v>
      </c>
      <c r="C18" s="35" t="n">
        <f aca="true">SUMIFS(Dyn_Sales,Dyn_MonthNo,$A18,Dyn_Region,$O$4,Dyn_Category,$O$5,Dyn_Segment,$O$6)</f>
        <v>360075</v>
      </c>
      <c r="D18" s="35" t="n">
        <f aca="true">SUMIFS(Dyn_Profit,Dyn_MonthNo,$A18,Dyn_Region,$O$4,Dyn_Category,$O$5,Dyn_Segment,$O$6)</f>
        <v>72913.3</v>
      </c>
      <c r="F18" s="11" t="str">
        <f aca="false">'🧮 Formulas'!A11</f>
        <v>Desk</v>
      </c>
      <c r="G18" s="35" t="n">
        <f aca="true">SUMIFS(Dyn_Sales,Dyn_Product,$F18,Dyn_Region,$O$4,Dyn_Category,$O$5,Dyn_Segment,$O$6)</f>
        <v>699600</v>
      </c>
      <c r="I18" s="32" t="s">
        <v>64</v>
      </c>
      <c r="J18" s="32" t="s">
        <v>59</v>
      </c>
    </row>
    <row r="19" customFormat="false" ht="15" hidden="false" customHeight="false" outlineLevel="0" collapsed="false">
      <c r="A19" s="33" t="n">
        <v>7</v>
      </c>
      <c r="B19" s="34" t="str">
        <f aca="false">TEXT(DATE(2025,A19,1),"mmm")</f>
        <v>Jul</v>
      </c>
      <c r="C19" s="35" t="n">
        <f aca="true">SUMIFS(Dyn_Sales,Dyn_MonthNo,$A19,Dyn_Region,$O$4,Dyn_Category,$O$5,Dyn_Segment,$O$6)</f>
        <v>701043</v>
      </c>
      <c r="D19" s="35" t="n">
        <f aca="true">SUMIFS(Dyn_Profit,Dyn_MonthNo,$A19,Dyn_Region,$O$4,Dyn_Category,$O$5,Dyn_Segment,$O$6)</f>
        <v>132206.9</v>
      </c>
      <c r="F19" s="11" t="str">
        <f aca="false">'🧮 Formulas'!A12</f>
        <v>Bookcase</v>
      </c>
      <c r="G19" s="35" t="n">
        <f aca="true">SUMIFS(Dyn_Sales,Dyn_Product,$F19,Dyn_Region,$O$4,Dyn_Category,$O$5,Dyn_Segment,$O$6)</f>
        <v>499525</v>
      </c>
      <c r="I19" s="11" t="s">
        <v>65</v>
      </c>
      <c r="J19" s="35" t="n">
        <f aca="true">SUMIFS(Dyn_Sales,Dyn_Region,$I19,Dyn_Region,$O$4,Dyn_Category,$O$5,Dyn_Segment,$O$6)</f>
        <v>1922759.5</v>
      </c>
    </row>
    <row r="20" customFormat="false" ht="15" hidden="false" customHeight="false" outlineLevel="0" collapsed="false">
      <c r="A20" s="33" t="n">
        <v>8</v>
      </c>
      <c r="B20" s="34" t="str">
        <f aca="false">TEXT(DATE(2025,A20,1),"mmm")</f>
        <v>Aug</v>
      </c>
      <c r="C20" s="35" t="n">
        <f aca="true">SUMIFS(Dyn_Sales,Dyn_MonthNo,$A20,Dyn_Region,$O$4,Dyn_Category,$O$5,Dyn_Segment,$O$6)</f>
        <v>714873</v>
      </c>
      <c r="D20" s="35" t="n">
        <f aca="true">SUMIFS(Dyn_Profit,Dyn_MonthNo,$A20,Dyn_Region,$O$4,Dyn_Category,$O$5,Dyn_Segment,$O$6)</f>
        <v>138237.7</v>
      </c>
      <c r="F20" s="11" t="str">
        <f aca="false">'🧮 Formulas'!A13</f>
        <v>Lamp</v>
      </c>
      <c r="G20" s="35" t="n">
        <f aca="true">SUMIFS(Dyn_Sales,Dyn_Product,$F20,Dyn_Region,$O$4,Dyn_Category,$O$5,Dyn_Segment,$O$6)</f>
        <v>103770</v>
      </c>
      <c r="I20" s="11" t="s">
        <v>66</v>
      </c>
      <c r="J20" s="35" t="n">
        <f aca="true">SUMIFS(Dyn_Sales,Dyn_Region,$I20,Dyn_Region,$O$4,Dyn_Category,$O$5,Dyn_Segment,$O$6)</f>
        <v>1387188</v>
      </c>
    </row>
    <row r="21" customFormat="false" ht="15" hidden="false" customHeight="false" outlineLevel="0" collapsed="false">
      <c r="A21" s="33" t="n">
        <v>9</v>
      </c>
      <c r="B21" s="34" t="str">
        <f aca="false">TEXT(DATE(2025,A21,1),"mmm")</f>
        <v>Sep</v>
      </c>
      <c r="C21" s="35" t="n">
        <f aca="true">SUMIFS(Dyn_Sales,Dyn_MonthNo,$A21,Dyn_Region,$O$4,Dyn_Category,$O$5,Dyn_Segment,$O$6)</f>
        <v>398278</v>
      </c>
      <c r="D21" s="35" t="n">
        <f aca="true">SUMIFS(Dyn_Profit,Dyn_MonthNo,$A21,Dyn_Region,$O$4,Dyn_Category,$O$5,Dyn_Segment,$O$6)</f>
        <v>78549.8</v>
      </c>
      <c r="F21" s="11" t="str">
        <f aca="false">'🧮 Formulas'!A14</f>
        <v>Notebook</v>
      </c>
      <c r="G21" s="35" t="n">
        <f aca="true">SUMIFS(Dyn_Sales,Dyn_Product,$F21,Dyn_Region,$O$4,Dyn_Category,$O$5,Dyn_Segment,$O$6)</f>
        <v>21270</v>
      </c>
      <c r="I21" s="11" t="s">
        <v>67</v>
      </c>
      <c r="J21" s="35" t="n">
        <f aca="true">SUMIFS(Dyn_Sales,Dyn_Region,$I21,Dyn_Region,$O$4,Dyn_Category,$O$5,Dyn_Segment,$O$6)</f>
        <v>1495776.5</v>
      </c>
    </row>
    <row r="22" customFormat="false" ht="15" hidden="false" customHeight="false" outlineLevel="0" collapsed="false">
      <c r="A22" s="33" t="n">
        <v>10</v>
      </c>
      <c r="B22" s="34" t="str">
        <f aca="false">TEXT(DATE(2025,A22,1),"mmm")</f>
        <v>Oct</v>
      </c>
      <c r="C22" s="35" t="n">
        <f aca="true">SUMIFS(Dyn_Sales,Dyn_MonthNo,$A22,Dyn_Region,$O$4,Dyn_Category,$O$5,Dyn_Segment,$O$6)</f>
        <v>1130928.5</v>
      </c>
      <c r="D22" s="35" t="n">
        <f aca="true">SUMIFS(Dyn_Profit,Dyn_MonthNo,$A22,Dyn_Region,$O$4,Dyn_Category,$O$5,Dyn_Segment,$O$6)</f>
        <v>211676.55</v>
      </c>
      <c r="F22" s="11" t="str">
        <f aca="false">'🧮 Formulas'!A15</f>
        <v>Printer Paper</v>
      </c>
      <c r="G22" s="35" t="n">
        <f aca="true">SUMIFS(Dyn_Sales,Dyn_Product,$F22,Dyn_Region,$O$4,Dyn_Category,$O$5,Dyn_Segment,$O$6)</f>
        <v>96367.5</v>
      </c>
      <c r="I22" s="11" t="s">
        <v>68</v>
      </c>
      <c r="J22" s="35" t="n">
        <f aca="true">SUMIFS(Dyn_Sales,Dyn_Region,$I22,Dyn_Region,$O$4,Dyn_Category,$O$5,Dyn_Segment,$O$6)</f>
        <v>1708517</v>
      </c>
    </row>
    <row r="23" customFormat="false" ht="15" hidden="false" customHeight="false" outlineLevel="0" collapsed="false">
      <c r="A23" s="33" t="n">
        <v>11</v>
      </c>
      <c r="B23" s="34" t="str">
        <f aca="false">TEXT(DATE(2025,A23,1),"mmm")</f>
        <v>Nov</v>
      </c>
      <c r="C23" s="35" t="n">
        <f aca="true">SUMIFS(Dyn_Sales,Dyn_MonthNo,$A23,Dyn_Region,$O$4,Dyn_Category,$O$5,Dyn_Segment,$O$6)</f>
        <v>462319</v>
      </c>
      <c r="D23" s="35" t="n">
        <f aca="true">SUMIFS(Dyn_Profit,Dyn_MonthNo,$A23,Dyn_Region,$O$4,Dyn_Category,$O$5,Dyn_Segment,$O$6)</f>
        <v>92527.7</v>
      </c>
      <c r="F23" s="11" t="str">
        <f aca="false">'🧮 Formulas'!A16</f>
        <v>Pen Set</v>
      </c>
      <c r="G23" s="35" t="n">
        <f aca="true">SUMIFS(Dyn_Sales,Dyn_Product,$F23,Dyn_Region,$O$4,Dyn_Category,$O$5,Dyn_Segment,$O$6)</f>
        <v>69812.5</v>
      </c>
    </row>
    <row r="24" customFormat="false" ht="15" hidden="false" customHeight="false" outlineLevel="0" collapsed="false">
      <c r="A24" s="33" t="n">
        <v>12</v>
      </c>
      <c r="B24" s="34" t="str">
        <f aca="false">TEXT(DATE(2025,A24,1),"mmm")</f>
        <v>Dec</v>
      </c>
      <c r="C24" s="35" t="n">
        <f aca="true">SUMIFS(Dyn_Sales,Dyn_MonthNo,$A24,Dyn_Region,$O$4,Dyn_Category,$O$5,Dyn_Segment,$O$6)</f>
        <v>727949</v>
      </c>
      <c r="D24" s="35" t="n">
        <f aca="true">SUMIFS(Dyn_Profit,Dyn_MonthNo,$A24,Dyn_Region,$O$4,Dyn_Category,$O$5,Dyn_Segment,$O$6)</f>
        <v>138996.7</v>
      </c>
      <c r="F24" s="11" t="str">
        <f aca="false">'🧮 Formulas'!A17</f>
        <v>Stapler</v>
      </c>
      <c r="G24" s="35" t="n">
        <f aca="true">SUMIFS(Dyn_Sales,Dyn_Product,$F24,Dyn_Region,$O$4,Dyn_Category,$O$5,Dyn_Segment,$O$6)</f>
        <v>46296</v>
      </c>
    </row>
    <row r="63" customFormat="false" ht="30" hidden="false" customHeight="true" outlineLevel="0" collapsed="false">
      <c r="B63" s="13" t="s">
        <v>69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customFormat="false" ht="30" hidden="false" customHeight="true" outlineLevel="0" collapsed="false">
      <c r="B64" s="4" t="s">
        <v>70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</sheetData>
  <mergeCells count="15">
    <mergeCell ref="B1:M2"/>
    <mergeCell ref="B3:M3"/>
    <mergeCell ref="B5:M5"/>
    <mergeCell ref="B7:C7"/>
    <mergeCell ref="D7:E7"/>
    <mergeCell ref="F7:G7"/>
    <mergeCell ref="H7:I7"/>
    <mergeCell ref="J7:K7"/>
    <mergeCell ref="B8:C9"/>
    <mergeCell ref="D8:E9"/>
    <mergeCell ref="F8:G9"/>
    <mergeCell ref="H8:I9"/>
    <mergeCell ref="J8:K9"/>
    <mergeCell ref="B63:M63"/>
    <mergeCell ref="B64:M64"/>
  </mergeCells>
  <conditionalFormatting sqref="G13:G24">
    <cfRule type="dataBar" priority="2">
      <dataBar showValue="1" minLength="10" maxLength="90">
        <cfvo type="num" val="0"/>
        <cfvo type="max" val="0"/>
        <color rgb="FFF59E0B"/>
      </dataBar>
      <extLst>
        <ext xmlns:x14="http://schemas.microsoft.com/office/spreadsheetml/2009/9/main" uri="{B025F937-C7B1-47D3-B67F-A62EFF666E3E}">
          <x14:id>{F9B8C538-94EB-4B40-AAC8-155AC8BF3391}</x14:id>
        </ext>
      </extLst>
    </cfRule>
  </conditionalFormatting>
  <conditionalFormatting sqref="C13:C24">
    <cfRule type="colorScale" priority="3">
      <colorScale>
        <cfvo type="min" val="0"/>
        <cfvo type="max" val="0"/>
        <color rgb="FFFFFFFF"/>
        <color rgb="FF86EFAC"/>
      </colorScale>
    </cfRule>
  </conditionalFormatting>
  <dataValidations count="3">
    <dataValidation allowBlank="false" errorStyle="stop" operator="between" showDropDown="false" showErrorMessage="false" showInputMessage="false" sqref="C4" type="list">
      <formula1>"All,North,South,East,West"</formula1>
      <formula2>0</formula2>
    </dataValidation>
    <dataValidation allowBlank="false" errorStyle="stop" operator="between" showDropDown="false" showErrorMessage="false" showInputMessage="false" sqref="F4" type="list">
      <formula1>"All,Technology,Furniture,Office Supplies"</formula1>
      <formula2>0</formula2>
    </dataValidation>
    <dataValidation allowBlank="false" errorStyle="stop" operator="between" showDropDown="false" showErrorMessage="false" showInputMessage="false" sqref="I4" type="list">
      <formula1>"All,Consumer,Corporate,Home Office"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B8C538-94EB-4B40-AAC8-155AC8BF3391}">
            <x14:dataBar minLength="10" maxLength="90" axisPosition="none" gradient="true">
              <x14:cfvo type="num">
                <xm:f>0</xm:f>
              </x14:cfvo>
              <x14:cfvo type="max"/>
              <x14:negativeFillColor rgb="FFF59E0B"/>
              <x14:axisColor rgb="FF000000"/>
            </x14:dataBar>
          </x14:cfRule>
          <xm:sqref>G13:G24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34"/>
  </cols>
  <sheetData>
    <row r="1" customFormat="false" ht="19.7" hidden="false" customHeight="false" outlineLevel="0" collapsed="false">
      <c r="A1" s="36" t="s">
        <v>71</v>
      </c>
      <c r="B1" s="36"/>
      <c r="C1" s="36"/>
    </row>
    <row r="3" customFormat="false" ht="15" hidden="false" customHeight="false" outlineLevel="0" collapsed="false">
      <c r="A3" s="37" t="s">
        <v>72</v>
      </c>
      <c r="B3" s="37" t="s">
        <v>73</v>
      </c>
      <c r="C3" s="37" t="s">
        <v>74</v>
      </c>
    </row>
    <row r="4" customFormat="false" ht="15" hidden="false" customHeight="false" outlineLevel="0" collapsed="false">
      <c r="A4" s="34" t="n">
        <v>1</v>
      </c>
      <c r="B4" s="11" t="s">
        <v>75</v>
      </c>
      <c r="C4" s="11" t="s">
        <v>76</v>
      </c>
    </row>
    <row r="5" customFormat="false" ht="15" hidden="false" customHeight="false" outlineLevel="0" collapsed="false">
      <c r="A5" s="34" t="n">
        <v>2</v>
      </c>
      <c r="B5" s="11" t="s">
        <v>77</v>
      </c>
      <c r="C5" s="11" t="s">
        <v>78</v>
      </c>
    </row>
    <row r="6" customFormat="false" ht="15" hidden="false" customHeight="false" outlineLevel="0" collapsed="false">
      <c r="A6" s="34" t="n">
        <v>3</v>
      </c>
      <c r="B6" s="11" t="s">
        <v>79</v>
      </c>
      <c r="C6" s="11" t="s">
        <v>80</v>
      </c>
    </row>
    <row r="7" customFormat="false" ht="15" hidden="false" customHeight="false" outlineLevel="0" collapsed="false">
      <c r="A7" s="34" t="n">
        <v>4</v>
      </c>
      <c r="B7" s="11" t="s">
        <v>81</v>
      </c>
      <c r="C7" s="11" t="s">
        <v>82</v>
      </c>
    </row>
    <row r="8" customFormat="false" ht="15" hidden="false" customHeight="false" outlineLevel="0" collapsed="false">
      <c r="A8" s="34" t="n">
        <v>5</v>
      </c>
      <c r="B8" s="11" t="s">
        <v>83</v>
      </c>
      <c r="C8" s="11" t="s">
        <v>84</v>
      </c>
    </row>
    <row r="9" customFormat="false" ht="15" hidden="false" customHeight="false" outlineLevel="0" collapsed="false">
      <c r="A9" s="34" t="n">
        <v>6</v>
      </c>
      <c r="B9" s="11" t="s">
        <v>85</v>
      </c>
      <c r="C9" s="11" t="s">
        <v>86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56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28"/>
  </cols>
  <sheetData>
    <row r="1" customFormat="false" ht="19.7" hidden="false" customHeight="false" outlineLevel="0" collapsed="false">
      <c r="A1" s="36" t="s">
        <v>87</v>
      </c>
      <c r="B1" s="36"/>
      <c r="C1" s="36"/>
      <c r="D1" s="36"/>
      <c r="E1" s="36"/>
      <c r="F1" s="36"/>
      <c r="G1" s="36"/>
    </row>
    <row r="3" customFormat="false" ht="15" hidden="false" customHeight="false" outlineLevel="0" collapsed="false">
      <c r="A3" s="37" t="s">
        <v>72</v>
      </c>
      <c r="B3" s="37" t="s">
        <v>73</v>
      </c>
      <c r="C3" s="37" t="s">
        <v>88</v>
      </c>
      <c r="D3" s="37" t="s">
        <v>89</v>
      </c>
      <c r="E3" s="37" t="s">
        <v>90</v>
      </c>
      <c r="F3" s="37" t="s">
        <v>74</v>
      </c>
      <c r="G3" s="37" t="s">
        <v>91</v>
      </c>
    </row>
    <row r="4" customFormat="false" ht="15" hidden="false" customHeight="false" outlineLevel="0" collapsed="false">
      <c r="A4" s="34" t="n">
        <v>1</v>
      </c>
      <c r="B4" s="11" t="s">
        <v>92</v>
      </c>
      <c r="C4" s="11" t="s">
        <v>93</v>
      </c>
      <c r="D4" s="34" t="n">
        <v>15</v>
      </c>
      <c r="E4" s="38" t="n">
        <v>0.05</v>
      </c>
      <c r="F4" s="39" t="s">
        <v>94</v>
      </c>
      <c r="G4" s="10" t="s">
        <v>95</v>
      </c>
    </row>
    <row r="5" customFormat="false" ht="15" hidden="false" customHeight="false" outlineLevel="0" collapsed="false">
      <c r="A5" s="34" t="n">
        <v>2</v>
      </c>
      <c r="B5" s="11" t="s">
        <v>96</v>
      </c>
      <c r="C5" s="11" t="s">
        <v>97</v>
      </c>
      <c r="D5" s="34" t="n">
        <v>25</v>
      </c>
      <c r="E5" s="38" t="n">
        <v>0.1</v>
      </c>
      <c r="F5" s="39" t="s">
        <v>94</v>
      </c>
      <c r="G5" s="10" t="s">
        <v>98</v>
      </c>
    </row>
    <row r="6" customFormat="false" ht="15" hidden="false" customHeight="false" outlineLevel="0" collapsed="false">
      <c r="A6" s="34" t="n">
        <v>3</v>
      </c>
      <c r="B6" s="11" t="s">
        <v>99</v>
      </c>
      <c r="C6" s="11" t="s">
        <v>100</v>
      </c>
      <c r="D6" s="34" t="n">
        <v>30</v>
      </c>
      <c r="E6" s="38" t="n">
        <v>0.15</v>
      </c>
      <c r="F6" s="39" t="s">
        <v>94</v>
      </c>
      <c r="G6" s="10" t="s">
        <v>101</v>
      </c>
    </row>
    <row r="7" customFormat="false" ht="15" hidden="false" customHeight="false" outlineLevel="0" collapsed="false">
      <c r="A7" s="34" t="n">
        <v>4</v>
      </c>
      <c r="B7" s="11" t="s">
        <v>102</v>
      </c>
      <c r="C7" s="11" t="s">
        <v>103</v>
      </c>
      <c r="D7" s="34" t="n">
        <v>35</v>
      </c>
      <c r="E7" s="38" t="n">
        <v>0.15</v>
      </c>
      <c r="F7" s="39" t="s">
        <v>94</v>
      </c>
      <c r="G7" s="10" t="s">
        <v>104</v>
      </c>
    </row>
    <row r="8" customFormat="false" ht="15" hidden="false" customHeight="false" outlineLevel="0" collapsed="false">
      <c r="A8" s="34" t="n">
        <v>5</v>
      </c>
      <c r="B8" s="11" t="s">
        <v>105</v>
      </c>
      <c r="C8" s="11" t="s">
        <v>106</v>
      </c>
      <c r="D8" s="34" t="n">
        <v>40</v>
      </c>
      <c r="E8" s="38" t="n">
        <v>0.2</v>
      </c>
      <c r="F8" s="39" t="s">
        <v>94</v>
      </c>
      <c r="G8" s="10" t="s">
        <v>107</v>
      </c>
    </row>
    <row r="9" customFormat="false" ht="15" hidden="false" customHeight="false" outlineLevel="0" collapsed="false">
      <c r="A9" s="34" t="n">
        <v>6</v>
      </c>
      <c r="B9" s="11" t="s">
        <v>108</v>
      </c>
      <c r="C9" s="11" t="s">
        <v>109</v>
      </c>
      <c r="D9" s="34" t="n">
        <v>45</v>
      </c>
      <c r="E9" s="38" t="n">
        <v>0.25</v>
      </c>
      <c r="F9" s="39" t="s">
        <v>94</v>
      </c>
      <c r="G9" s="10" t="s">
        <v>110</v>
      </c>
    </row>
    <row r="10" customFormat="false" ht="15" hidden="false" customHeight="false" outlineLevel="0" collapsed="false">
      <c r="A10" s="34" t="n">
        <v>7</v>
      </c>
      <c r="B10" s="11" t="s">
        <v>36</v>
      </c>
      <c r="C10" s="11" t="s">
        <v>111</v>
      </c>
      <c r="D10" s="34" t="n">
        <v>20</v>
      </c>
      <c r="E10" s="38" t="n">
        <v>0.1</v>
      </c>
      <c r="F10" s="39" t="s">
        <v>94</v>
      </c>
      <c r="G10" s="10" t="s">
        <v>112</v>
      </c>
    </row>
    <row r="11" customFormat="false" ht="15" hidden="false" customHeight="false" outlineLevel="0" collapsed="false">
      <c r="A11" s="40"/>
      <c r="B11" s="41" t="s">
        <v>113</v>
      </c>
      <c r="C11" s="40"/>
      <c r="D11" s="42" t="n">
        <f aca="false">SUM(D4:D10)</f>
        <v>210</v>
      </c>
      <c r="E11" s="43" t="n">
        <f aca="false">SUM(E4:E10)</f>
        <v>1</v>
      </c>
      <c r="F11" s="42" t="str">
        <f aca="false">COUNTIF(F4:F10,"*Done")&amp;" / 7 ✅"</f>
        <v>7 / 7 ✅</v>
      </c>
    </row>
    <row r="13" customFormat="false" ht="15" hidden="false" customHeight="false" outlineLevel="0" collapsed="false">
      <c r="B13" s="11" t="s">
        <v>114</v>
      </c>
      <c r="D13" s="44" t="n">
        <v>180</v>
      </c>
    </row>
    <row r="14" customFormat="false" ht="15" hidden="false" customHeight="false" outlineLevel="0" collapsed="false">
      <c r="B14" s="11" t="s">
        <v>115</v>
      </c>
      <c r="D14" s="45" t="n">
        <f aca="false">D11-D13</f>
        <v>30</v>
      </c>
    </row>
    <row r="15" customFormat="false" ht="15" hidden="false" customHeight="false" outlineLevel="0" collapsed="false">
      <c r="B15" s="8" t="s">
        <v>116</v>
      </c>
    </row>
  </sheetData>
  <mergeCells count="1">
    <mergeCell ref="A1:G1"/>
  </mergeCells>
  <hyperlinks>
    <hyperlink ref="G4" location="'📥 Raw_Data'!A1" display="Go to 📥 Raw_Data"/>
    <hyperlink ref="G5" location="'🧹 Clean_Data'!A1" display="Go to 🧹 Clean_Data"/>
    <hyperlink ref="G6" location="'📊 Pivots'!A1" display="Go to 📊 Pivots"/>
    <hyperlink ref="G7" location="'🧮 Formulas'!A1" display="Go to 🧮 Formulas"/>
    <hyperlink ref="G8" location="'📈 Charts'!A1" display="Go to 📈 Charts"/>
    <hyperlink ref="G9" location="'📺 Dashboard'!A1" display="Go to 📺 Dashboard"/>
    <hyperlink ref="G10" location="'📝 Documentation'!A1" display="Go to 📝 Documenta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I3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46" t="s">
        <v>117</v>
      </c>
      <c r="B1" s="46" t="s">
        <v>118</v>
      </c>
      <c r="C1" s="46" t="s">
        <v>64</v>
      </c>
      <c r="D1" s="46" t="s">
        <v>62</v>
      </c>
      <c r="E1" s="46" t="s">
        <v>61</v>
      </c>
      <c r="F1" s="46" t="s">
        <v>119</v>
      </c>
      <c r="G1" s="46" t="s">
        <v>120</v>
      </c>
      <c r="H1" s="46" t="s">
        <v>121</v>
      </c>
      <c r="I1" s="46" t="s">
        <v>122</v>
      </c>
    </row>
    <row r="2" customFormat="false" ht="15" hidden="false" customHeight="false" outlineLevel="0" collapsed="false">
      <c r="A2" s="47" t="s">
        <v>123</v>
      </c>
      <c r="B2" s="48" t="n">
        <v>45873</v>
      </c>
      <c r="C2" s="47" t="s">
        <v>68</v>
      </c>
      <c r="D2" s="47" t="s">
        <v>124</v>
      </c>
      <c r="E2" s="47" t="s">
        <v>125</v>
      </c>
      <c r="F2" s="47" t="s">
        <v>126</v>
      </c>
      <c r="G2" s="47" t="n">
        <v>1</v>
      </c>
      <c r="H2" s="47" t="n">
        <v>3500</v>
      </c>
      <c r="I2" s="49" t="n">
        <v>0.1</v>
      </c>
    </row>
    <row r="3" customFormat="false" ht="15" hidden="false" customHeight="false" outlineLevel="0" collapsed="false">
      <c r="A3" s="47" t="s">
        <v>127</v>
      </c>
      <c r="B3" s="48" t="n">
        <v>45874</v>
      </c>
      <c r="C3" s="47" t="s">
        <v>65</v>
      </c>
      <c r="D3" s="47" t="s">
        <v>128</v>
      </c>
      <c r="E3" s="47" t="s">
        <v>129</v>
      </c>
      <c r="F3" s="47" t="s">
        <v>126</v>
      </c>
      <c r="G3" s="47" t="n">
        <v>11</v>
      </c>
      <c r="H3" s="47" t="n">
        <v>120</v>
      </c>
      <c r="I3" s="49" t="n">
        <v>0</v>
      </c>
    </row>
    <row r="4" customFormat="false" ht="15" hidden="false" customHeight="false" outlineLevel="0" collapsed="false">
      <c r="A4" s="47" t="s">
        <v>130</v>
      </c>
      <c r="B4" s="48" t="n">
        <v>45789</v>
      </c>
      <c r="C4" s="47" t="s">
        <v>66</v>
      </c>
      <c r="D4" s="47" t="s">
        <v>124</v>
      </c>
      <c r="E4" s="47" t="s">
        <v>131</v>
      </c>
      <c r="F4" s="47" t="s">
        <v>126</v>
      </c>
      <c r="G4" s="47" t="n">
        <v>1</v>
      </c>
      <c r="H4" s="47" t="n">
        <v>55000</v>
      </c>
      <c r="I4" s="49" t="n">
        <v>0.15</v>
      </c>
    </row>
    <row r="5" customFormat="false" ht="15" hidden="false" customHeight="false" outlineLevel="0" collapsed="false">
      <c r="A5" s="47" t="s">
        <v>132</v>
      </c>
      <c r="B5" s="48" t="n">
        <v>45823</v>
      </c>
      <c r="C5" s="47" t="s">
        <v>66</v>
      </c>
      <c r="D5" s="47" t="s">
        <v>124</v>
      </c>
      <c r="E5" s="47" t="s">
        <v>133</v>
      </c>
      <c r="F5" s="47" t="s">
        <v>134</v>
      </c>
      <c r="G5" s="47" t="n">
        <v>2</v>
      </c>
      <c r="H5" s="47" t="n">
        <v>22000</v>
      </c>
      <c r="I5" s="49" t="n">
        <v>0.15</v>
      </c>
    </row>
    <row r="6" customFormat="false" ht="15" hidden="false" customHeight="false" outlineLevel="0" collapsed="false">
      <c r="A6" s="47" t="s">
        <v>135</v>
      </c>
      <c r="B6" s="48" t="n">
        <v>45868</v>
      </c>
      <c r="C6" s="47" t="s">
        <v>66</v>
      </c>
      <c r="D6" s="47" t="s">
        <v>136</v>
      </c>
      <c r="E6" s="47" t="s">
        <v>137</v>
      </c>
      <c r="F6" s="47" t="s">
        <v>126</v>
      </c>
      <c r="G6" s="47" t="n">
        <v>5</v>
      </c>
      <c r="H6" s="47" t="n">
        <v>12000</v>
      </c>
      <c r="I6" s="49"/>
    </row>
    <row r="7" customFormat="false" ht="15" hidden="false" customHeight="false" outlineLevel="0" collapsed="false">
      <c r="A7" s="47" t="s">
        <v>138</v>
      </c>
      <c r="B7" s="48" t="n">
        <v>45890</v>
      </c>
      <c r="C7" s="47"/>
      <c r="D7" s="47" t="s">
        <v>136</v>
      </c>
      <c r="E7" s="47" t="s">
        <v>139</v>
      </c>
      <c r="F7" s="47" t="s">
        <v>134</v>
      </c>
      <c r="G7" s="47" t="n">
        <v>6</v>
      </c>
      <c r="H7" s="47" t="n">
        <v>6500</v>
      </c>
      <c r="I7" s="49" t="n">
        <v>0.05</v>
      </c>
    </row>
    <row r="8" customFormat="false" ht="15" hidden="false" customHeight="false" outlineLevel="0" collapsed="false">
      <c r="A8" s="47" t="s">
        <v>140</v>
      </c>
      <c r="B8" s="48" t="n">
        <v>46013</v>
      </c>
      <c r="C8" s="47" t="s">
        <v>66</v>
      </c>
      <c r="D8" s="47" t="s">
        <v>124</v>
      </c>
      <c r="E8" s="47" t="s">
        <v>133</v>
      </c>
      <c r="F8" s="47" t="s">
        <v>141</v>
      </c>
      <c r="G8" s="47" t="n">
        <v>4</v>
      </c>
      <c r="H8" s="47" t="n">
        <v>22000</v>
      </c>
      <c r="I8" s="49" t="n">
        <v>0</v>
      </c>
    </row>
    <row r="9" customFormat="false" ht="15" hidden="false" customHeight="false" outlineLevel="0" collapsed="false">
      <c r="A9" s="47" t="s">
        <v>142</v>
      </c>
      <c r="B9" s="48" t="n">
        <v>45843</v>
      </c>
      <c r="C9" s="47" t="s">
        <v>67</v>
      </c>
      <c r="D9" s="47" t="s">
        <v>136</v>
      </c>
      <c r="E9" s="47" t="s">
        <v>139</v>
      </c>
      <c r="F9" s="47" t="s">
        <v>126</v>
      </c>
      <c r="G9" s="47" t="n">
        <v>1</v>
      </c>
      <c r="H9" s="47" t="n">
        <v>6500</v>
      </c>
      <c r="I9" s="49" t="n">
        <v>0</v>
      </c>
    </row>
    <row r="10" customFormat="false" ht="15" hidden="false" customHeight="false" outlineLevel="0" collapsed="false">
      <c r="A10" s="47" t="s">
        <v>143</v>
      </c>
      <c r="B10" s="48" t="n">
        <v>45925</v>
      </c>
      <c r="C10" s="47" t="s">
        <v>66</v>
      </c>
      <c r="D10" s="47" t="s">
        <v>128</v>
      </c>
      <c r="E10" s="47" t="s">
        <v>144</v>
      </c>
      <c r="F10" s="47" t="s">
        <v>134</v>
      </c>
      <c r="G10" s="47" t="n">
        <v>10</v>
      </c>
      <c r="H10" s="47" t="n">
        <v>180</v>
      </c>
      <c r="I10" s="49" t="n">
        <v>0.05</v>
      </c>
    </row>
    <row r="11" customFormat="false" ht="15" hidden="false" customHeight="false" outlineLevel="0" collapsed="false">
      <c r="A11" s="47" t="s">
        <v>145</v>
      </c>
      <c r="B11" s="48" t="n">
        <v>45874</v>
      </c>
      <c r="C11" s="47" t="s">
        <v>68</v>
      </c>
      <c r="D11" s="47" t="s">
        <v>124</v>
      </c>
      <c r="E11" s="47" t="s">
        <v>146</v>
      </c>
      <c r="F11" s="47" t="s">
        <v>126</v>
      </c>
      <c r="G11" s="47" t="n">
        <v>3</v>
      </c>
      <c r="H11" s="47" t="n">
        <v>14000</v>
      </c>
      <c r="I11" s="49" t="n">
        <v>0</v>
      </c>
    </row>
    <row r="12" customFormat="false" ht="15" hidden="false" customHeight="false" outlineLevel="0" collapsed="false">
      <c r="A12" s="47" t="s">
        <v>147</v>
      </c>
      <c r="B12" s="48" t="n">
        <v>45933</v>
      </c>
      <c r="C12" s="47" t="s">
        <v>66</v>
      </c>
      <c r="D12" s="47" t="s">
        <v>128</v>
      </c>
      <c r="E12" s="47" t="s">
        <v>129</v>
      </c>
      <c r="F12" s="47" t="s">
        <v>141</v>
      </c>
      <c r="G12" s="47" t="n">
        <v>3</v>
      </c>
      <c r="H12" s="47" t="n">
        <v>120</v>
      </c>
      <c r="I12" s="49" t="n">
        <v>0.05</v>
      </c>
    </row>
    <row r="13" customFormat="false" ht="15" hidden="false" customHeight="false" outlineLevel="0" collapsed="false">
      <c r="A13" s="47" t="s">
        <v>148</v>
      </c>
      <c r="B13" s="48" t="n">
        <v>45884</v>
      </c>
      <c r="C13" s="47" t="s">
        <v>68</v>
      </c>
      <c r="D13" s="47" t="s">
        <v>128</v>
      </c>
      <c r="E13" s="47" t="s">
        <v>149</v>
      </c>
      <c r="F13" s="47" t="s">
        <v>141</v>
      </c>
      <c r="G13" s="47" t="n">
        <v>13</v>
      </c>
      <c r="H13" s="47" t="n">
        <v>450</v>
      </c>
      <c r="I13" s="49" t="n">
        <v>0</v>
      </c>
    </row>
    <row r="14" customFormat="false" ht="15" hidden="false" customHeight="false" outlineLevel="0" collapsed="false">
      <c r="A14" s="47" t="s">
        <v>150</v>
      </c>
      <c r="B14" s="48" t="n">
        <v>45994</v>
      </c>
      <c r="C14" s="47" t="s">
        <v>151</v>
      </c>
      <c r="D14" s="47" t="s">
        <v>136</v>
      </c>
      <c r="E14" s="47" t="s">
        <v>137</v>
      </c>
      <c r="F14" s="47" t="s">
        <v>126</v>
      </c>
      <c r="G14" s="47" t="n">
        <v>2</v>
      </c>
      <c r="H14" s="47" t="n">
        <v>12000</v>
      </c>
      <c r="I14" s="49" t="n">
        <v>0</v>
      </c>
    </row>
    <row r="15" customFormat="false" ht="15" hidden="false" customHeight="false" outlineLevel="0" collapsed="false">
      <c r="A15" s="47" t="s">
        <v>152</v>
      </c>
      <c r="B15" s="47" t="s">
        <v>153</v>
      </c>
      <c r="C15" s="47" t="s">
        <v>66</v>
      </c>
      <c r="D15" s="47" t="s">
        <v>128</v>
      </c>
      <c r="E15" s="47" t="s">
        <v>144</v>
      </c>
      <c r="F15" s="47" t="s">
        <v>134</v>
      </c>
      <c r="G15" s="47" t="n">
        <v>8</v>
      </c>
      <c r="H15" s="47" t="n">
        <v>180</v>
      </c>
      <c r="I15" s="49" t="n">
        <v>0</v>
      </c>
    </row>
    <row r="16" customFormat="false" ht="15" hidden="false" customHeight="false" outlineLevel="0" collapsed="false">
      <c r="A16" s="47" t="s">
        <v>154</v>
      </c>
      <c r="B16" s="48" t="n">
        <v>45885</v>
      </c>
      <c r="C16" s="47" t="s">
        <v>65</v>
      </c>
      <c r="D16" s="47" t="s">
        <v>128</v>
      </c>
      <c r="E16" s="47" t="s">
        <v>155</v>
      </c>
      <c r="F16" s="47" t="s">
        <v>141</v>
      </c>
      <c r="G16" s="47" t="n">
        <v>7</v>
      </c>
      <c r="H16" s="47" t="n">
        <v>250</v>
      </c>
      <c r="I16" s="49"/>
    </row>
    <row r="17" customFormat="false" ht="15" hidden="false" customHeight="false" outlineLevel="0" collapsed="false">
      <c r="A17" s="47" t="s">
        <v>156</v>
      </c>
      <c r="B17" s="48" t="n">
        <v>45767</v>
      </c>
      <c r="C17" s="47" t="s">
        <v>67</v>
      </c>
      <c r="D17" s="47" t="s">
        <v>124</v>
      </c>
      <c r="E17" s="47" t="s">
        <v>125</v>
      </c>
      <c r="F17" s="47" t="s">
        <v>141</v>
      </c>
      <c r="G17" s="47" t="n">
        <v>4</v>
      </c>
      <c r="H17" s="47" t="n">
        <v>3500</v>
      </c>
      <c r="I17" s="49"/>
    </row>
    <row r="18" customFormat="false" ht="15" hidden="false" customHeight="false" outlineLevel="0" collapsed="false">
      <c r="A18" s="47" t="s">
        <v>157</v>
      </c>
      <c r="B18" s="48" t="n">
        <v>45931</v>
      </c>
      <c r="C18" s="47" t="s">
        <v>66</v>
      </c>
      <c r="D18" s="47" t="s">
        <v>124</v>
      </c>
      <c r="E18" s="47" t="s">
        <v>131</v>
      </c>
      <c r="F18" s="47" t="s">
        <v>126</v>
      </c>
      <c r="G18" s="47" t="n">
        <v>2</v>
      </c>
      <c r="H18" s="47" t="n">
        <v>55000</v>
      </c>
      <c r="I18" s="49" t="n">
        <v>0.1</v>
      </c>
    </row>
    <row r="19" customFormat="false" ht="15" hidden="false" customHeight="false" outlineLevel="0" collapsed="false">
      <c r="A19" s="47" t="s">
        <v>158</v>
      </c>
      <c r="B19" s="48" t="n">
        <v>45755</v>
      </c>
      <c r="C19" s="47" t="s">
        <v>67</v>
      </c>
      <c r="D19" s="47" t="s">
        <v>128</v>
      </c>
      <c r="E19" s="47" t="s">
        <v>149</v>
      </c>
      <c r="F19" s="47" t="s">
        <v>141</v>
      </c>
      <c r="G19" s="47" t="n">
        <v>12</v>
      </c>
      <c r="H19" s="47" t="n">
        <v>450</v>
      </c>
      <c r="I19" s="49" t="n">
        <v>0.2</v>
      </c>
    </row>
    <row r="20" customFormat="false" ht="15" hidden="false" customHeight="false" outlineLevel="0" collapsed="false">
      <c r="A20" s="47" t="s">
        <v>159</v>
      </c>
      <c r="B20" s="48" t="n">
        <v>45952</v>
      </c>
      <c r="C20" s="47" t="s">
        <v>68</v>
      </c>
      <c r="D20" s="47" t="s">
        <v>136</v>
      </c>
      <c r="E20" s="47" t="s">
        <v>160</v>
      </c>
      <c r="F20" s="47" t="s">
        <v>141</v>
      </c>
      <c r="G20" s="47" t="n">
        <v>3</v>
      </c>
      <c r="H20" s="47" t="n">
        <v>8500</v>
      </c>
      <c r="I20" s="49" t="n">
        <v>0.1</v>
      </c>
    </row>
    <row r="21" customFormat="false" ht="15" hidden="false" customHeight="false" outlineLevel="0" collapsed="false">
      <c r="A21" s="47" t="s">
        <v>161</v>
      </c>
      <c r="B21" s="48" t="n">
        <v>45697</v>
      </c>
      <c r="C21" s="47" t="s">
        <v>162</v>
      </c>
      <c r="D21" s="47" t="s">
        <v>136</v>
      </c>
      <c r="E21" s="47" t="s">
        <v>139</v>
      </c>
      <c r="F21" s="47" t="s">
        <v>141</v>
      </c>
      <c r="G21" s="47" t="n">
        <v>2</v>
      </c>
      <c r="H21" s="47" t="n">
        <v>6500</v>
      </c>
      <c r="I21" s="49" t="n">
        <v>0.15</v>
      </c>
    </row>
    <row r="22" customFormat="false" ht="15" hidden="false" customHeight="false" outlineLevel="0" collapsed="false">
      <c r="A22" s="47" t="s">
        <v>163</v>
      </c>
      <c r="B22" s="48" t="n">
        <v>45857</v>
      </c>
      <c r="C22" s="47" t="s">
        <v>68</v>
      </c>
      <c r="D22" s="47" t="s">
        <v>136</v>
      </c>
      <c r="E22" s="47" t="s">
        <v>139</v>
      </c>
      <c r="F22" s="47" t="s">
        <v>141</v>
      </c>
      <c r="G22" s="47" t="n">
        <v>3</v>
      </c>
      <c r="H22" s="47" t="n">
        <v>6500</v>
      </c>
      <c r="I22" s="49" t="n">
        <v>0.2</v>
      </c>
    </row>
    <row r="23" customFormat="false" ht="15" hidden="false" customHeight="false" outlineLevel="0" collapsed="false">
      <c r="A23" s="47" t="s">
        <v>164</v>
      </c>
      <c r="B23" s="48" t="n">
        <v>45680</v>
      </c>
      <c r="C23" s="47" t="s">
        <v>67</v>
      </c>
      <c r="D23" s="47" t="s">
        <v>136</v>
      </c>
      <c r="E23" s="47" t="s">
        <v>137</v>
      </c>
      <c r="F23" s="47" t="s">
        <v>141</v>
      </c>
      <c r="G23" s="47" t="n">
        <v>4</v>
      </c>
      <c r="H23" s="47" t="n">
        <v>12000</v>
      </c>
      <c r="I23" s="49" t="n">
        <v>0.1</v>
      </c>
    </row>
    <row r="24" customFormat="false" ht="15" hidden="false" customHeight="false" outlineLevel="0" collapsed="false">
      <c r="A24" s="47" t="s">
        <v>165</v>
      </c>
      <c r="B24" s="47" t="s">
        <v>166</v>
      </c>
      <c r="C24" s="47" t="s">
        <v>68</v>
      </c>
      <c r="D24" s="47" t="s">
        <v>124</v>
      </c>
      <c r="E24" s="47" t="s">
        <v>133</v>
      </c>
      <c r="F24" s="47" t="s">
        <v>126</v>
      </c>
      <c r="G24" s="47" t="n">
        <v>3</v>
      </c>
      <c r="H24" s="47" t="n">
        <v>22000</v>
      </c>
      <c r="I24" s="49" t="n">
        <v>0.15</v>
      </c>
    </row>
    <row r="25" customFormat="false" ht="15" hidden="false" customHeight="false" outlineLevel="0" collapsed="false">
      <c r="A25" s="47" t="s">
        <v>167</v>
      </c>
      <c r="B25" s="48" t="n">
        <v>45922</v>
      </c>
      <c r="C25" s="47"/>
      <c r="D25" s="47" t="s">
        <v>136</v>
      </c>
      <c r="E25" s="47" t="s">
        <v>139</v>
      </c>
      <c r="F25" s="47" t="s">
        <v>126</v>
      </c>
      <c r="G25" s="47" t="n">
        <v>4</v>
      </c>
      <c r="H25" s="47" t="n">
        <v>6500</v>
      </c>
      <c r="I25" s="49" t="n">
        <v>0</v>
      </c>
    </row>
    <row r="26" customFormat="false" ht="15" hidden="false" customHeight="false" outlineLevel="0" collapsed="false">
      <c r="A26" s="47" t="s">
        <v>168</v>
      </c>
      <c r="B26" s="47" t="s">
        <v>169</v>
      </c>
      <c r="C26" s="47" t="s">
        <v>65</v>
      </c>
      <c r="D26" s="47" t="s">
        <v>136</v>
      </c>
      <c r="E26" s="47" t="s">
        <v>160</v>
      </c>
      <c r="F26" s="47" t="s">
        <v>134</v>
      </c>
      <c r="G26" s="47" t="n">
        <v>5</v>
      </c>
      <c r="H26" s="47" t="n">
        <v>8500</v>
      </c>
      <c r="I26" s="49" t="n">
        <v>0</v>
      </c>
    </row>
    <row r="27" customFormat="false" ht="15" hidden="false" customHeight="false" outlineLevel="0" collapsed="false">
      <c r="A27" s="47" t="s">
        <v>170</v>
      </c>
      <c r="B27" s="48" t="n">
        <v>45780</v>
      </c>
      <c r="C27" s="47" t="s">
        <v>171</v>
      </c>
      <c r="D27" s="47" t="s">
        <v>128</v>
      </c>
      <c r="E27" s="47" t="s">
        <v>144</v>
      </c>
      <c r="F27" s="47" t="s">
        <v>134</v>
      </c>
      <c r="G27" s="47" t="n">
        <v>12</v>
      </c>
      <c r="H27" s="47" t="n">
        <v>180</v>
      </c>
      <c r="I27" s="49" t="n">
        <v>0</v>
      </c>
    </row>
    <row r="28" customFormat="false" ht="15" hidden="false" customHeight="false" outlineLevel="0" collapsed="false">
      <c r="A28" s="47" t="s">
        <v>172</v>
      </c>
      <c r="B28" s="48" t="n">
        <v>45664</v>
      </c>
      <c r="C28" s="47" t="s">
        <v>67</v>
      </c>
      <c r="D28" s="47" t="s">
        <v>128</v>
      </c>
      <c r="E28" s="47" t="s">
        <v>144</v>
      </c>
      <c r="F28" s="47" t="s">
        <v>134</v>
      </c>
      <c r="G28" s="47" t="n">
        <v>3</v>
      </c>
      <c r="H28" s="47" t="n">
        <v>180</v>
      </c>
      <c r="I28" s="49" t="n">
        <v>0.1</v>
      </c>
    </row>
    <row r="29" customFormat="false" ht="15" hidden="false" customHeight="false" outlineLevel="0" collapsed="false">
      <c r="A29" s="47" t="s">
        <v>173</v>
      </c>
      <c r="B29" s="48" t="n">
        <v>45707</v>
      </c>
      <c r="C29" s="47" t="s">
        <v>67</v>
      </c>
      <c r="D29" s="47" t="s">
        <v>128</v>
      </c>
      <c r="E29" s="47" t="s">
        <v>129</v>
      </c>
      <c r="F29" s="47" t="s">
        <v>126</v>
      </c>
      <c r="G29" s="47" t="n">
        <v>8</v>
      </c>
      <c r="H29" s="47" t="n">
        <v>120</v>
      </c>
      <c r="I29" s="49"/>
    </row>
    <row r="30" customFormat="false" ht="15" hidden="false" customHeight="false" outlineLevel="0" collapsed="false">
      <c r="A30" s="47" t="s">
        <v>174</v>
      </c>
      <c r="B30" s="48" t="n">
        <v>45863</v>
      </c>
      <c r="C30" s="47" t="s">
        <v>68</v>
      </c>
      <c r="D30" s="47" t="s">
        <v>128</v>
      </c>
      <c r="E30" s="47" t="s">
        <v>129</v>
      </c>
      <c r="F30" s="47" t="s">
        <v>141</v>
      </c>
      <c r="G30" s="47" t="s">
        <v>175</v>
      </c>
      <c r="H30" s="47" t="n">
        <v>120</v>
      </c>
      <c r="I30" s="49" t="n">
        <v>0</v>
      </c>
    </row>
    <row r="31" customFormat="false" ht="15" hidden="false" customHeight="false" outlineLevel="0" collapsed="false">
      <c r="A31" s="47" t="s">
        <v>176</v>
      </c>
      <c r="B31" s="48" t="n">
        <v>45845</v>
      </c>
      <c r="C31" s="47" t="s">
        <v>66</v>
      </c>
      <c r="D31" s="47" t="s">
        <v>136</v>
      </c>
      <c r="E31" s="47" t="s">
        <v>139</v>
      </c>
      <c r="F31" s="47" t="s">
        <v>126</v>
      </c>
      <c r="G31" s="47" t="n">
        <v>5</v>
      </c>
      <c r="H31" s="47" t="n">
        <v>6500</v>
      </c>
      <c r="I31" s="49" t="n">
        <v>0.15</v>
      </c>
    </row>
    <row r="32" customFormat="false" ht="15" hidden="false" customHeight="false" outlineLevel="0" collapsed="false">
      <c r="A32" s="47" t="s">
        <v>177</v>
      </c>
      <c r="B32" s="48" t="n">
        <v>45847</v>
      </c>
      <c r="C32" s="47" t="s">
        <v>67</v>
      </c>
      <c r="D32" s="47" t="s">
        <v>136</v>
      </c>
      <c r="E32" s="47" t="s">
        <v>139</v>
      </c>
      <c r="F32" s="47" t="s">
        <v>126</v>
      </c>
      <c r="G32" s="47" t="n">
        <v>2</v>
      </c>
      <c r="H32" s="47" t="n">
        <v>6500</v>
      </c>
      <c r="I32" s="49" t="n">
        <v>0.2</v>
      </c>
    </row>
    <row r="33" customFormat="false" ht="15" hidden="false" customHeight="false" outlineLevel="0" collapsed="false">
      <c r="A33" s="47" t="s">
        <v>178</v>
      </c>
      <c r="B33" s="48" t="n">
        <v>46009</v>
      </c>
      <c r="C33" s="47" t="s">
        <v>66</v>
      </c>
      <c r="D33" s="47" t="s">
        <v>128</v>
      </c>
      <c r="E33" s="47" t="s">
        <v>144</v>
      </c>
      <c r="F33" s="47" t="s">
        <v>134</v>
      </c>
      <c r="G33" s="47" t="n">
        <v>3</v>
      </c>
      <c r="H33" s="47" t="n">
        <v>180</v>
      </c>
      <c r="I33" s="49" t="n">
        <v>0.2</v>
      </c>
    </row>
    <row r="34" customFormat="false" ht="15" hidden="false" customHeight="false" outlineLevel="0" collapsed="false">
      <c r="A34" s="47" t="s">
        <v>179</v>
      </c>
      <c r="B34" s="48" t="n">
        <v>45946</v>
      </c>
      <c r="C34" s="47" t="s">
        <v>68</v>
      </c>
      <c r="D34" s="47" t="s">
        <v>124</v>
      </c>
      <c r="E34" s="47" t="s">
        <v>146</v>
      </c>
      <c r="F34" s="47" t="s">
        <v>141</v>
      </c>
      <c r="G34" s="47" t="n">
        <v>4</v>
      </c>
      <c r="H34" s="47" t="n">
        <v>14000</v>
      </c>
      <c r="I34" s="49" t="n">
        <v>0.15</v>
      </c>
    </row>
    <row r="35" customFormat="false" ht="15" hidden="false" customHeight="false" outlineLevel="0" collapsed="false">
      <c r="A35" s="47" t="s">
        <v>180</v>
      </c>
      <c r="B35" s="48" t="n">
        <v>45743</v>
      </c>
      <c r="C35" s="47" t="s">
        <v>65</v>
      </c>
      <c r="D35" s="47" t="s">
        <v>136</v>
      </c>
      <c r="E35" s="47" t="s">
        <v>139</v>
      </c>
      <c r="F35" s="47" t="s">
        <v>126</v>
      </c>
      <c r="G35" s="47" t="n">
        <v>3</v>
      </c>
      <c r="H35" s="47" t="n">
        <v>6500</v>
      </c>
      <c r="I35" s="49" t="n">
        <v>0.05</v>
      </c>
    </row>
    <row r="36" customFormat="false" ht="15" hidden="false" customHeight="false" outlineLevel="0" collapsed="false">
      <c r="A36" s="47" t="s">
        <v>181</v>
      </c>
      <c r="B36" s="48" t="n">
        <v>45659</v>
      </c>
      <c r="C36" s="47" t="s">
        <v>67</v>
      </c>
      <c r="D36" s="47" t="s">
        <v>136</v>
      </c>
      <c r="E36" s="47" t="s">
        <v>139</v>
      </c>
      <c r="F36" s="47" t="s">
        <v>126</v>
      </c>
      <c r="G36" s="47" t="n">
        <v>1</v>
      </c>
      <c r="H36" s="47" t="n">
        <v>6500</v>
      </c>
      <c r="I36" s="49" t="n">
        <v>0.2</v>
      </c>
    </row>
    <row r="37" customFormat="false" ht="15" hidden="false" customHeight="false" outlineLevel="0" collapsed="false">
      <c r="A37" s="47" t="s">
        <v>182</v>
      </c>
      <c r="B37" s="48" t="n">
        <v>45967</v>
      </c>
      <c r="C37" s="47" t="s">
        <v>66</v>
      </c>
      <c r="D37" s="47" t="s">
        <v>136</v>
      </c>
      <c r="E37" s="47" t="s">
        <v>139</v>
      </c>
      <c r="F37" s="47" t="s">
        <v>141</v>
      </c>
      <c r="G37" s="47" t="n">
        <v>3</v>
      </c>
      <c r="H37" s="47" t="n">
        <v>6500</v>
      </c>
      <c r="I37" s="49" t="n">
        <v>0.05</v>
      </c>
    </row>
    <row r="38" customFormat="false" ht="15" hidden="false" customHeight="false" outlineLevel="0" collapsed="false">
      <c r="A38" s="47" t="s">
        <v>183</v>
      </c>
      <c r="B38" s="48" t="n">
        <v>45823</v>
      </c>
      <c r="C38" s="47" t="s">
        <v>67</v>
      </c>
      <c r="D38" s="47" t="s">
        <v>136</v>
      </c>
      <c r="E38" s="47" t="s">
        <v>184</v>
      </c>
      <c r="F38" s="47" t="s">
        <v>126</v>
      </c>
      <c r="G38" s="47" t="n">
        <v>6</v>
      </c>
      <c r="H38" s="47" t="n">
        <v>1800</v>
      </c>
      <c r="I38" s="49" t="n">
        <v>0</v>
      </c>
    </row>
    <row r="39" customFormat="false" ht="15" hidden="false" customHeight="false" outlineLevel="0" collapsed="false">
      <c r="A39" s="47" t="s">
        <v>185</v>
      </c>
      <c r="B39" s="48" t="n">
        <v>45990</v>
      </c>
      <c r="C39" s="47" t="s">
        <v>68</v>
      </c>
      <c r="D39" s="47" t="s">
        <v>124</v>
      </c>
      <c r="E39" s="47" t="s">
        <v>131</v>
      </c>
      <c r="F39" s="47" t="s">
        <v>126</v>
      </c>
      <c r="G39" s="47" t="n">
        <v>2</v>
      </c>
      <c r="H39" s="47" t="n">
        <v>55000</v>
      </c>
      <c r="I39" s="49" t="n">
        <v>0.1</v>
      </c>
    </row>
    <row r="40" customFormat="false" ht="15" hidden="false" customHeight="false" outlineLevel="0" collapsed="false">
      <c r="A40" s="47" t="s">
        <v>186</v>
      </c>
      <c r="B40" s="48" t="n">
        <v>46014</v>
      </c>
      <c r="C40" s="47" t="s">
        <v>68</v>
      </c>
      <c r="D40" s="47" t="s">
        <v>128</v>
      </c>
      <c r="E40" s="47" t="s">
        <v>149</v>
      </c>
      <c r="F40" s="47" t="s">
        <v>134</v>
      </c>
      <c r="G40" s="47" t="n">
        <v>13</v>
      </c>
      <c r="H40" s="47" t="n">
        <v>450</v>
      </c>
      <c r="I40" s="49" t="n">
        <v>0.1</v>
      </c>
    </row>
    <row r="41" customFormat="false" ht="15" hidden="false" customHeight="false" outlineLevel="0" collapsed="false">
      <c r="A41" s="47" t="s">
        <v>187</v>
      </c>
      <c r="B41" s="48" t="n">
        <v>45905</v>
      </c>
      <c r="C41" s="47" t="s">
        <v>66</v>
      </c>
      <c r="D41" s="47" t="s">
        <v>124</v>
      </c>
      <c r="E41" s="47" t="s">
        <v>125</v>
      </c>
      <c r="F41" s="47" t="s">
        <v>141</v>
      </c>
      <c r="G41" s="47" t="n">
        <v>3</v>
      </c>
      <c r="H41" s="47" t="n">
        <v>3500</v>
      </c>
      <c r="I41" s="49" t="n">
        <v>0.1</v>
      </c>
    </row>
    <row r="42" customFormat="false" ht="15" hidden="false" customHeight="false" outlineLevel="0" collapsed="false">
      <c r="A42" s="47" t="s">
        <v>188</v>
      </c>
      <c r="B42" s="48" t="n">
        <v>45932</v>
      </c>
      <c r="C42" s="47"/>
      <c r="D42" s="47" t="s">
        <v>128</v>
      </c>
      <c r="E42" s="47" t="s">
        <v>144</v>
      </c>
      <c r="F42" s="47" t="s">
        <v>126</v>
      </c>
      <c r="G42" s="47" t="n">
        <v>12</v>
      </c>
      <c r="H42" s="47" t="n">
        <v>180</v>
      </c>
      <c r="I42" s="49" t="n">
        <v>0</v>
      </c>
    </row>
    <row r="43" customFormat="false" ht="15" hidden="false" customHeight="false" outlineLevel="0" collapsed="false">
      <c r="A43" s="47" t="s">
        <v>189</v>
      </c>
      <c r="B43" s="47" t="s">
        <v>190</v>
      </c>
      <c r="C43" s="47" t="s">
        <v>68</v>
      </c>
      <c r="D43" s="47" t="s">
        <v>136</v>
      </c>
      <c r="E43" s="47" t="s">
        <v>184</v>
      </c>
      <c r="F43" s="47" t="s">
        <v>141</v>
      </c>
      <c r="G43" s="47" t="n">
        <v>3</v>
      </c>
      <c r="H43" s="47" t="n">
        <v>1800</v>
      </c>
      <c r="I43" s="49" t="n">
        <v>0.1</v>
      </c>
    </row>
    <row r="44" customFormat="false" ht="15" hidden="false" customHeight="false" outlineLevel="0" collapsed="false">
      <c r="A44" s="47" t="s">
        <v>191</v>
      </c>
      <c r="B44" s="48" t="n">
        <v>45889</v>
      </c>
      <c r="C44" s="47" t="s">
        <v>192</v>
      </c>
      <c r="D44" s="47" t="s">
        <v>124</v>
      </c>
      <c r="E44" s="47" t="s">
        <v>133</v>
      </c>
      <c r="F44" s="47" t="s">
        <v>141</v>
      </c>
      <c r="G44" s="47" t="n">
        <v>1</v>
      </c>
      <c r="H44" s="47" t="n">
        <v>22000</v>
      </c>
      <c r="I44" s="49" t="n">
        <v>0.1</v>
      </c>
    </row>
    <row r="45" customFormat="false" ht="15" hidden="false" customHeight="false" outlineLevel="0" collapsed="false">
      <c r="A45" s="47" t="s">
        <v>193</v>
      </c>
      <c r="B45" s="48" t="n">
        <v>45749</v>
      </c>
      <c r="C45" s="47" t="s">
        <v>65</v>
      </c>
      <c r="D45" s="47" t="s">
        <v>136</v>
      </c>
      <c r="E45" s="47" t="s">
        <v>139</v>
      </c>
      <c r="F45" s="47" t="s">
        <v>141</v>
      </c>
      <c r="G45" s="47" t="n">
        <v>5</v>
      </c>
      <c r="H45" s="47" t="n">
        <v>6500</v>
      </c>
      <c r="I45" s="49" t="n">
        <v>0.05</v>
      </c>
    </row>
    <row r="46" customFormat="false" ht="15" hidden="false" customHeight="false" outlineLevel="0" collapsed="false">
      <c r="A46" s="47" t="s">
        <v>194</v>
      </c>
      <c r="B46" s="48" t="n">
        <v>45750</v>
      </c>
      <c r="C46" s="47" t="s">
        <v>67</v>
      </c>
      <c r="D46" s="47" t="s">
        <v>136</v>
      </c>
      <c r="E46" s="47" t="s">
        <v>184</v>
      </c>
      <c r="F46" s="47" t="s">
        <v>134</v>
      </c>
      <c r="G46" s="47" t="n">
        <v>5</v>
      </c>
      <c r="H46" s="47" t="n">
        <v>1800</v>
      </c>
      <c r="I46" s="49" t="n">
        <v>0</v>
      </c>
    </row>
    <row r="47" customFormat="false" ht="15" hidden="false" customHeight="false" outlineLevel="0" collapsed="false">
      <c r="A47" s="47" t="s">
        <v>195</v>
      </c>
      <c r="B47" s="48" t="n">
        <v>45708</v>
      </c>
      <c r="C47" s="47" t="s">
        <v>68</v>
      </c>
      <c r="D47" s="47" t="s">
        <v>128</v>
      </c>
      <c r="E47" s="47" t="s">
        <v>144</v>
      </c>
      <c r="F47" s="47" t="s">
        <v>141</v>
      </c>
      <c r="G47" s="47" t="n">
        <v>12</v>
      </c>
      <c r="H47" s="47" t="n">
        <v>180</v>
      </c>
      <c r="I47" s="49"/>
    </row>
    <row r="48" customFormat="false" ht="15" hidden="false" customHeight="false" outlineLevel="0" collapsed="false">
      <c r="A48" s="47" t="s">
        <v>196</v>
      </c>
      <c r="B48" s="47" t="s">
        <v>197</v>
      </c>
      <c r="C48" s="47" t="s">
        <v>65</v>
      </c>
      <c r="D48" s="47" t="s">
        <v>124</v>
      </c>
      <c r="E48" s="47" t="s">
        <v>146</v>
      </c>
      <c r="F48" s="47" t="s">
        <v>141</v>
      </c>
      <c r="G48" s="47" t="n">
        <v>3</v>
      </c>
      <c r="H48" s="47" t="n">
        <v>14000</v>
      </c>
      <c r="I48" s="49" t="n">
        <v>0.2</v>
      </c>
    </row>
    <row r="49" customFormat="false" ht="15" hidden="false" customHeight="false" outlineLevel="0" collapsed="false">
      <c r="A49" s="47" t="s">
        <v>198</v>
      </c>
      <c r="B49" s="48" t="n">
        <v>45941</v>
      </c>
      <c r="C49" s="47" t="s">
        <v>67</v>
      </c>
      <c r="D49" s="47" t="s">
        <v>124</v>
      </c>
      <c r="E49" s="47" t="s">
        <v>131</v>
      </c>
      <c r="F49" s="47" t="s">
        <v>141</v>
      </c>
      <c r="G49" s="47" t="n">
        <v>1</v>
      </c>
      <c r="H49" s="47" t="n">
        <v>55000</v>
      </c>
      <c r="I49" s="49" t="n">
        <v>0</v>
      </c>
    </row>
    <row r="50" customFormat="false" ht="15" hidden="false" customHeight="false" outlineLevel="0" collapsed="false">
      <c r="A50" s="47" t="s">
        <v>199</v>
      </c>
      <c r="B50" s="47" t="s">
        <v>200</v>
      </c>
      <c r="C50" s="47" t="s">
        <v>65</v>
      </c>
      <c r="D50" s="47" t="s">
        <v>128</v>
      </c>
      <c r="E50" s="47" t="s">
        <v>155</v>
      </c>
      <c r="F50" s="47" t="s">
        <v>134</v>
      </c>
      <c r="G50" s="47" t="n">
        <v>9</v>
      </c>
      <c r="H50" s="47" t="n">
        <v>250</v>
      </c>
      <c r="I50" s="49" t="n">
        <v>0.05</v>
      </c>
    </row>
    <row r="51" customFormat="false" ht="15" hidden="false" customHeight="false" outlineLevel="0" collapsed="false">
      <c r="A51" s="47" t="s">
        <v>201</v>
      </c>
      <c r="B51" s="48" t="n">
        <v>45987</v>
      </c>
      <c r="C51" s="47"/>
      <c r="D51" s="47" t="s">
        <v>136</v>
      </c>
      <c r="E51" s="47" t="s">
        <v>184</v>
      </c>
      <c r="F51" s="47" t="s">
        <v>126</v>
      </c>
      <c r="G51" s="47" t="n">
        <v>4</v>
      </c>
      <c r="H51" s="47" t="n">
        <v>1800</v>
      </c>
      <c r="I51" s="49" t="n">
        <v>0.05</v>
      </c>
    </row>
    <row r="52" customFormat="false" ht="15" hidden="false" customHeight="false" outlineLevel="0" collapsed="false">
      <c r="A52" s="47" t="s">
        <v>202</v>
      </c>
      <c r="B52" s="48" t="n">
        <v>45934</v>
      </c>
      <c r="C52" s="47" t="s">
        <v>67</v>
      </c>
      <c r="D52" s="47" t="s">
        <v>124</v>
      </c>
      <c r="E52" s="47" t="s">
        <v>133</v>
      </c>
      <c r="F52" s="47" t="s">
        <v>126</v>
      </c>
      <c r="G52" s="47" t="n">
        <v>2</v>
      </c>
      <c r="H52" s="47" t="n">
        <v>22000</v>
      </c>
      <c r="I52" s="49" t="n">
        <v>0</v>
      </c>
    </row>
    <row r="53" customFormat="false" ht="15" hidden="false" customHeight="false" outlineLevel="0" collapsed="false">
      <c r="A53" s="47" t="s">
        <v>203</v>
      </c>
      <c r="B53" s="48" t="n">
        <v>45828</v>
      </c>
      <c r="C53" s="47" t="s">
        <v>204</v>
      </c>
      <c r="D53" s="47" t="s">
        <v>128</v>
      </c>
      <c r="E53" s="47" t="s">
        <v>129</v>
      </c>
      <c r="F53" s="47" t="s">
        <v>126</v>
      </c>
      <c r="G53" s="47" t="n">
        <v>2</v>
      </c>
      <c r="H53" s="47" t="n">
        <v>120</v>
      </c>
      <c r="I53" s="49" t="n">
        <v>0.15</v>
      </c>
    </row>
    <row r="54" customFormat="false" ht="15" hidden="false" customHeight="false" outlineLevel="0" collapsed="false">
      <c r="A54" s="47" t="s">
        <v>205</v>
      </c>
      <c r="B54" s="48" t="n">
        <v>45934</v>
      </c>
      <c r="C54" s="47" t="s">
        <v>66</v>
      </c>
      <c r="D54" s="47" t="s">
        <v>128</v>
      </c>
      <c r="E54" s="47" t="s">
        <v>144</v>
      </c>
      <c r="F54" s="47" t="s">
        <v>141</v>
      </c>
      <c r="G54" s="47" t="n">
        <v>5</v>
      </c>
      <c r="H54" s="47" t="n">
        <v>180</v>
      </c>
      <c r="I54" s="49" t="n">
        <v>0.05</v>
      </c>
    </row>
    <row r="55" customFormat="false" ht="15" hidden="false" customHeight="false" outlineLevel="0" collapsed="false">
      <c r="A55" s="47" t="s">
        <v>206</v>
      </c>
      <c r="B55" s="48" t="n">
        <v>45882</v>
      </c>
      <c r="C55" s="47" t="s">
        <v>68</v>
      </c>
      <c r="D55" s="47" t="s">
        <v>124</v>
      </c>
      <c r="E55" s="47" t="s">
        <v>133</v>
      </c>
      <c r="F55" s="47" t="s">
        <v>126</v>
      </c>
      <c r="G55" s="47" t="n">
        <v>3</v>
      </c>
      <c r="H55" s="47" t="n">
        <v>22000</v>
      </c>
      <c r="I55" s="49" t="n">
        <v>0</v>
      </c>
    </row>
    <row r="56" customFormat="false" ht="15" hidden="false" customHeight="false" outlineLevel="0" collapsed="false">
      <c r="A56" s="47" t="s">
        <v>207</v>
      </c>
      <c r="B56" s="48" t="n">
        <v>45963</v>
      </c>
      <c r="C56" s="47" t="s">
        <v>65</v>
      </c>
      <c r="D56" s="47" t="s">
        <v>136</v>
      </c>
      <c r="E56" s="47" t="s">
        <v>139</v>
      </c>
      <c r="F56" s="47" t="s">
        <v>126</v>
      </c>
      <c r="G56" s="47" t="n">
        <v>5</v>
      </c>
      <c r="H56" s="47" t="n">
        <v>6500</v>
      </c>
      <c r="I56" s="49" t="n">
        <v>0</v>
      </c>
    </row>
    <row r="57" customFormat="false" ht="15" hidden="false" customHeight="false" outlineLevel="0" collapsed="false">
      <c r="A57" s="47" t="s">
        <v>208</v>
      </c>
      <c r="B57" s="48" t="n">
        <v>46001</v>
      </c>
      <c r="C57" s="47" t="s">
        <v>65</v>
      </c>
      <c r="D57" s="47" t="s">
        <v>136</v>
      </c>
      <c r="E57" s="47" t="s">
        <v>139</v>
      </c>
      <c r="F57" s="47" t="s">
        <v>141</v>
      </c>
      <c r="G57" s="47" t="n">
        <v>2</v>
      </c>
      <c r="H57" s="47" t="n">
        <v>6500</v>
      </c>
      <c r="I57" s="49" t="n">
        <v>0.2</v>
      </c>
    </row>
    <row r="58" customFormat="false" ht="15" hidden="false" customHeight="false" outlineLevel="0" collapsed="false">
      <c r="A58" s="47" t="s">
        <v>209</v>
      </c>
      <c r="B58" s="48" t="n">
        <v>45934</v>
      </c>
      <c r="C58" s="47" t="s">
        <v>68</v>
      </c>
      <c r="D58" s="47" t="s">
        <v>128</v>
      </c>
      <c r="E58" s="47" t="s">
        <v>155</v>
      </c>
      <c r="F58" s="47" t="s">
        <v>134</v>
      </c>
      <c r="G58" s="47" t="n">
        <v>10</v>
      </c>
      <c r="H58" s="47" t="n">
        <v>250</v>
      </c>
      <c r="I58" s="49" t="n">
        <v>0</v>
      </c>
    </row>
    <row r="59" customFormat="false" ht="15" hidden="false" customHeight="false" outlineLevel="0" collapsed="false">
      <c r="A59" s="47" t="s">
        <v>210</v>
      </c>
      <c r="B59" s="48" t="n">
        <v>45959</v>
      </c>
      <c r="C59" s="47" t="s">
        <v>66</v>
      </c>
      <c r="D59" s="47" t="s">
        <v>124</v>
      </c>
      <c r="E59" s="47" t="s">
        <v>125</v>
      </c>
      <c r="F59" s="47" t="s">
        <v>141</v>
      </c>
      <c r="G59" s="47" t="n">
        <v>1</v>
      </c>
      <c r="H59" s="47" t="n">
        <v>3500</v>
      </c>
      <c r="I59" s="49" t="n">
        <v>0</v>
      </c>
    </row>
    <row r="60" customFormat="false" ht="15" hidden="false" customHeight="false" outlineLevel="0" collapsed="false">
      <c r="A60" s="47" t="s">
        <v>211</v>
      </c>
      <c r="B60" s="48" t="n">
        <v>45852</v>
      </c>
      <c r="C60" s="47" t="s">
        <v>67</v>
      </c>
      <c r="D60" s="47" t="s">
        <v>124</v>
      </c>
      <c r="E60" s="47" t="s">
        <v>125</v>
      </c>
      <c r="F60" s="47" t="s">
        <v>134</v>
      </c>
      <c r="G60" s="47" t="n">
        <v>3</v>
      </c>
      <c r="H60" s="47" t="n">
        <v>3500</v>
      </c>
      <c r="I60" s="49" t="n">
        <v>0.05</v>
      </c>
    </row>
    <row r="61" customFormat="false" ht="15" hidden="false" customHeight="false" outlineLevel="0" collapsed="false">
      <c r="A61" s="47" t="s">
        <v>212</v>
      </c>
      <c r="B61" s="48" t="n">
        <v>45731</v>
      </c>
      <c r="C61" s="47" t="s">
        <v>67</v>
      </c>
      <c r="D61" s="47" t="s">
        <v>136</v>
      </c>
      <c r="E61" s="47" t="s">
        <v>139</v>
      </c>
      <c r="F61" s="47" t="s">
        <v>141</v>
      </c>
      <c r="G61" s="47" t="n">
        <v>5</v>
      </c>
      <c r="H61" s="47" t="n">
        <v>6500</v>
      </c>
      <c r="I61" s="49" t="n">
        <v>0.05</v>
      </c>
    </row>
    <row r="62" customFormat="false" ht="15" hidden="false" customHeight="false" outlineLevel="0" collapsed="false">
      <c r="A62" s="47" t="s">
        <v>213</v>
      </c>
      <c r="B62" s="48" t="n">
        <v>45916</v>
      </c>
      <c r="C62" s="47" t="s">
        <v>66</v>
      </c>
      <c r="D62" s="47" t="s">
        <v>124</v>
      </c>
      <c r="E62" s="47" t="s">
        <v>125</v>
      </c>
      <c r="F62" s="47" t="s">
        <v>126</v>
      </c>
      <c r="G62" s="47" t="n">
        <v>1</v>
      </c>
      <c r="H62" s="47" t="n">
        <v>3500</v>
      </c>
      <c r="I62" s="49" t="n">
        <v>0</v>
      </c>
    </row>
    <row r="63" customFormat="false" ht="15" hidden="false" customHeight="false" outlineLevel="0" collapsed="false">
      <c r="A63" s="47" t="s">
        <v>214</v>
      </c>
      <c r="B63" s="48" t="n">
        <v>45808</v>
      </c>
      <c r="C63" s="47" t="s">
        <v>66</v>
      </c>
      <c r="D63" s="47" t="s">
        <v>136</v>
      </c>
      <c r="E63" s="47" t="s">
        <v>160</v>
      </c>
      <c r="F63" s="47" t="s">
        <v>134</v>
      </c>
      <c r="G63" s="47" t="n">
        <v>1</v>
      </c>
      <c r="H63" s="47" t="n">
        <v>8500</v>
      </c>
      <c r="I63" s="49" t="n">
        <v>0.2</v>
      </c>
    </row>
    <row r="64" customFormat="false" ht="15" hidden="false" customHeight="false" outlineLevel="0" collapsed="false">
      <c r="A64" s="47" t="s">
        <v>215</v>
      </c>
      <c r="B64" s="47" t="s">
        <v>216</v>
      </c>
      <c r="C64" s="47" t="s">
        <v>67</v>
      </c>
      <c r="D64" s="47" t="s">
        <v>128</v>
      </c>
      <c r="E64" s="47" t="s">
        <v>149</v>
      </c>
      <c r="F64" s="47" t="s">
        <v>141</v>
      </c>
      <c r="G64" s="47" t="n">
        <v>6</v>
      </c>
      <c r="H64" s="47" t="n">
        <v>450</v>
      </c>
      <c r="I64" s="49" t="n">
        <v>0.05</v>
      </c>
    </row>
    <row r="65" customFormat="false" ht="15" hidden="false" customHeight="false" outlineLevel="0" collapsed="false">
      <c r="A65" s="47" t="s">
        <v>217</v>
      </c>
      <c r="B65" s="48" t="n">
        <v>45781</v>
      </c>
      <c r="C65" s="47" t="s">
        <v>68</v>
      </c>
      <c r="D65" s="47" t="s">
        <v>128</v>
      </c>
      <c r="E65" s="47" t="s">
        <v>144</v>
      </c>
      <c r="F65" s="47" t="s">
        <v>141</v>
      </c>
      <c r="G65" s="47" t="n">
        <v>10</v>
      </c>
      <c r="H65" s="47" t="n">
        <v>180</v>
      </c>
      <c r="I65" s="49" t="n">
        <v>0.2</v>
      </c>
    </row>
    <row r="66" customFormat="false" ht="15" hidden="false" customHeight="false" outlineLevel="0" collapsed="false">
      <c r="A66" s="47" t="s">
        <v>218</v>
      </c>
      <c r="B66" s="48" t="n">
        <v>45731</v>
      </c>
      <c r="C66" s="47" t="s">
        <v>68</v>
      </c>
      <c r="D66" s="47" t="s">
        <v>128</v>
      </c>
      <c r="E66" s="47" t="s">
        <v>149</v>
      </c>
      <c r="F66" s="47" t="s">
        <v>126</v>
      </c>
      <c r="G66" s="47" t="n">
        <v>2</v>
      </c>
      <c r="H66" s="47" t="n">
        <v>450</v>
      </c>
      <c r="I66" s="49" t="n">
        <v>0</v>
      </c>
    </row>
    <row r="67" customFormat="false" ht="15" hidden="false" customHeight="false" outlineLevel="0" collapsed="false">
      <c r="A67" s="47" t="s">
        <v>219</v>
      </c>
      <c r="B67" s="48" t="n">
        <v>45708</v>
      </c>
      <c r="C67" s="47" t="s">
        <v>67</v>
      </c>
      <c r="D67" s="47" t="s">
        <v>136</v>
      </c>
      <c r="E67" s="47" t="s">
        <v>137</v>
      </c>
      <c r="F67" s="47" t="s">
        <v>141</v>
      </c>
      <c r="G67" s="47" t="n">
        <v>3</v>
      </c>
      <c r="H67" s="47" t="n">
        <v>12000</v>
      </c>
      <c r="I67" s="49" t="n">
        <v>0.2</v>
      </c>
    </row>
    <row r="68" customFormat="false" ht="15" hidden="false" customHeight="false" outlineLevel="0" collapsed="false">
      <c r="A68" s="47" t="s">
        <v>220</v>
      </c>
      <c r="B68" s="48" t="n">
        <v>45941</v>
      </c>
      <c r="C68" s="47" t="s">
        <v>67</v>
      </c>
      <c r="D68" s="47" t="s">
        <v>124</v>
      </c>
      <c r="E68" s="47" t="s">
        <v>133</v>
      </c>
      <c r="F68" s="47" t="s">
        <v>126</v>
      </c>
      <c r="G68" s="47" t="s">
        <v>221</v>
      </c>
      <c r="H68" s="47" t="n">
        <v>22000</v>
      </c>
      <c r="I68" s="49" t="n">
        <v>0.1</v>
      </c>
    </row>
    <row r="69" customFormat="false" ht="15" hidden="false" customHeight="false" outlineLevel="0" collapsed="false">
      <c r="A69" s="47" t="s">
        <v>222</v>
      </c>
      <c r="B69" s="48" t="n">
        <v>45854</v>
      </c>
      <c r="C69" s="47" t="s">
        <v>65</v>
      </c>
      <c r="D69" s="47" t="s">
        <v>124</v>
      </c>
      <c r="E69" s="47" t="s">
        <v>125</v>
      </c>
      <c r="F69" s="47" t="s">
        <v>141</v>
      </c>
      <c r="G69" s="47" t="n">
        <v>3</v>
      </c>
      <c r="H69" s="47" t="n">
        <v>3500</v>
      </c>
      <c r="I69" s="49" t="n">
        <v>0</v>
      </c>
    </row>
    <row r="70" customFormat="false" ht="15" hidden="false" customHeight="false" outlineLevel="0" collapsed="false">
      <c r="A70" s="47" t="s">
        <v>223</v>
      </c>
      <c r="B70" s="48" t="n">
        <v>45788</v>
      </c>
      <c r="C70" s="47" t="s">
        <v>67</v>
      </c>
      <c r="D70" s="47" t="s">
        <v>136</v>
      </c>
      <c r="E70" s="47" t="s">
        <v>137</v>
      </c>
      <c r="F70" s="47" t="s">
        <v>134</v>
      </c>
      <c r="G70" s="47" t="n">
        <v>2</v>
      </c>
      <c r="H70" s="47" t="n">
        <v>12000</v>
      </c>
      <c r="I70" s="49" t="n">
        <v>0</v>
      </c>
    </row>
    <row r="71" customFormat="false" ht="15" hidden="false" customHeight="false" outlineLevel="0" collapsed="false">
      <c r="A71" s="47" t="s">
        <v>224</v>
      </c>
      <c r="B71" s="48" t="n">
        <v>45811</v>
      </c>
      <c r="C71" s="47" t="s">
        <v>67</v>
      </c>
      <c r="D71" s="47" t="s">
        <v>136</v>
      </c>
      <c r="E71" s="47" t="s">
        <v>184</v>
      </c>
      <c r="F71" s="47" t="s">
        <v>141</v>
      </c>
      <c r="G71" s="47" t="n">
        <v>5</v>
      </c>
      <c r="H71" s="47" t="n">
        <v>1800</v>
      </c>
      <c r="I71" s="49" t="n">
        <v>0.15</v>
      </c>
    </row>
    <row r="72" customFormat="false" ht="15" hidden="false" customHeight="false" outlineLevel="0" collapsed="false">
      <c r="A72" s="47" t="s">
        <v>225</v>
      </c>
      <c r="B72" s="48" t="n">
        <v>45884</v>
      </c>
      <c r="C72" s="47" t="s">
        <v>67</v>
      </c>
      <c r="D72" s="47" t="s">
        <v>128</v>
      </c>
      <c r="E72" s="47" t="s">
        <v>149</v>
      </c>
      <c r="F72" s="47" t="s">
        <v>141</v>
      </c>
      <c r="G72" s="47" t="n">
        <v>3</v>
      </c>
      <c r="H72" s="47" t="n">
        <v>450</v>
      </c>
      <c r="I72" s="49" t="n">
        <v>0.05</v>
      </c>
    </row>
    <row r="73" customFormat="false" ht="15" hidden="false" customHeight="false" outlineLevel="0" collapsed="false">
      <c r="A73" s="47" t="s">
        <v>226</v>
      </c>
      <c r="B73" s="48" t="n">
        <v>45962</v>
      </c>
      <c r="C73" s="47" t="s">
        <v>65</v>
      </c>
      <c r="D73" s="47" t="s">
        <v>128</v>
      </c>
      <c r="E73" s="47" t="s">
        <v>144</v>
      </c>
      <c r="F73" s="47" t="s">
        <v>134</v>
      </c>
      <c r="G73" s="47" t="n">
        <v>4</v>
      </c>
      <c r="H73" s="47" t="n">
        <v>180</v>
      </c>
      <c r="I73" s="49" t="n">
        <v>0.15</v>
      </c>
    </row>
    <row r="74" customFormat="false" ht="15" hidden="false" customHeight="false" outlineLevel="0" collapsed="false">
      <c r="A74" s="47" t="s">
        <v>227</v>
      </c>
      <c r="B74" s="48" t="n">
        <v>45995</v>
      </c>
      <c r="C74" s="47" t="s">
        <v>68</v>
      </c>
      <c r="D74" s="47" t="s">
        <v>136</v>
      </c>
      <c r="E74" s="47" t="s">
        <v>139</v>
      </c>
      <c r="F74" s="47" t="s">
        <v>134</v>
      </c>
      <c r="G74" s="47" t="n">
        <v>1</v>
      </c>
      <c r="H74" s="47" t="n">
        <v>6500</v>
      </c>
      <c r="I74" s="49" t="n">
        <v>0</v>
      </c>
    </row>
    <row r="75" customFormat="false" ht="15" hidden="false" customHeight="false" outlineLevel="0" collapsed="false">
      <c r="A75" s="47" t="s">
        <v>228</v>
      </c>
      <c r="B75" s="48" t="n">
        <v>45944</v>
      </c>
      <c r="C75" s="47" t="s">
        <v>68</v>
      </c>
      <c r="D75" s="47" t="s">
        <v>128</v>
      </c>
      <c r="E75" s="47" t="s">
        <v>155</v>
      </c>
      <c r="F75" s="47" t="s">
        <v>141</v>
      </c>
      <c r="G75" s="47" t="n">
        <v>14</v>
      </c>
      <c r="H75" s="47" t="n">
        <v>250</v>
      </c>
      <c r="I75" s="49" t="n">
        <v>0.2</v>
      </c>
    </row>
    <row r="76" customFormat="false" ht="15" hidden="false" customHeight="false" outlineLevel="0" collapsed="false">
      <c r="A76" s="47" t="s">
        <v>229</v>
      </c>
      <c r="B76" s="47" t="s">
        <v>230</v>
      </c>
      <c r="C76" s="47" t="s">
        <v>65</v>
      </c>
      <c r="D76" s="47" t="s">
        <v>124</v>
      </c>
      <c r="E76" s="47" t="s">
        <v>125</v>
      </c>
      <c r="F76" s="47" t="s">
        <v>134</v>
      </c>
      <c r="G76" s="47" t="n">
        <v>1</v>
      </c>
      <c r="H76" s="47" t="n">
        <v>3500</v>
      </c>
      <c r="I76" s="49" t="n">
        <v>0.1</v>
      </c>
    </row>
    <row r="77" customFormat="false" ht="15" hidden="false" customHeight="false" outlineLevel="0" collapsed="false">
      <c r="A77" s="47" t="s">
        <v>231</v>
      </c>
      <c r="B77" s="48" t="n">
        <v>45765</v>
      </c>
      <c r="C77" s="47" t="s">
        <v>68</v>
      </c>
      <c r="D77" s="47" t="s">
        <v>128</v>
      </c>
      <c r="E77" s="47" t="s">
        <v>155</v>
      </c>
      <c r="F77" s="47" t="s">
        <v>141</v>
      </c>
      <c r="G77" s="47" t="n">
        <v>6</v>
      </c>
      <c r="H77" s="47" t="n">
        <v>250</v>
      </c>
      <c r="I77" s="49" t="n">
        <v>0.15</v>
      </c>
    </row>
    <row r="78" customFormat="false" ht="15" hidden="false" customHeight="false" outlineLevel="0" collapsed="false">
      <c r="A78" s="47" t="s">
        <v>232</v>
      </c>
      <c r="B78" s="48" t="n">
        <v>45750</v>
      </c>
      <c r="C78" s="47" t="s">
        <v>66</v>
      </c>
      <c r="D78" s="47" t="s">
        <v>136</v>
      </c>
      <c r="E78" s="47" t="s">
        <v>137</v>
      </c>
      <c r="F78" s="47" t="s">
        <v>141</v>
      </c>
      <c r="G78" s="47" t="n">
        <v>2</v>
      </c>
      <c r="H78" s="47" t="n">
        <v>12000</v>
      </c>
      <c r="I78" s="49" t="n">
        <v>0.1</v>
      </c>
    </row>
    <row r="79" customFormat="false" ht="15" hidden="false" customHeight="false" outlineLevel="0" collapsed="false">
      <c r="A79" s="47" t="s">
        <v>233</v>
      </c>
      <c r="B79" s="48" t="n">
        <v>45864</v>
      </c>
      <c r="C79" s="47" t="s">
        <v>67</v>
      </c>
      <c r="D79" s="47" t="s">
        <v>124</v>
      </c>
      <c r="E79" s="47" t="s">
        <v>125</v>
      </c>
      <c r="F79" s="47" t="s">
        <v>126</v>
      </c>
      <c r="G79" s="47" t="n">
        <v>3</v>
      </c>
      <c r="H79" s="47" t="n">
        <v>3500</v>
      </c>
      <c r="I79" s="49" t="n">
        <v>0.1</v>
      </c>
    </row>
    <row r="80" customFormat="false" ht="15" hidden="false" customHeight="false" outlineLevel="0" collapsed="false">
      <c r="A80" s="47" t="s">
        <v>234</v>
      </c>
      <c r="B80" s="48" t="n">
        <v>45977</v>
      </c>
      <c r="C80" s="47" t="s">
        <v>68</v>
      </c>
      <c r="D80" s="47" t="s">
        <v>128</v>
      </c>
      <c r="E80" s="47" t="s">
        <v>155</v>
      </c>
      <c r="F80" s="47" t="s">
        <v>141</v>
      </c>
      <c r="G80" s="47" t="n">
        <v>7</v>
      </c>
      <c r="H80" s="47" t="n">
        <v>250</v>
      </c>
      <c r="I80" s="49" t="n">
        <v>0</v>
      </c>
    </row>
    <row r="81" customFormat="false" ht="15" hidden="false" customHeight="false" outlineLevel="0" collapsed="false">
      <c r="A81" s="47" t="s">
        <v>235</v>
      </c>
      <c r="B81" s="47" t="s">
        <v>236</v>
      </c>
      <c r="C81" s="47" t="s">
        <v>67</v>
      </c>
      <c r="D81" s="47" t="s">
        <v>128</v>
      </c>
      <c r="E81" s="47" t="s">
        <v>129</v>
      </c>
      <c r="F81" s="47" t="s">
        <v>126</v>
      </c>
      <c r="G81" s="47" t="n">
        <v>11</v>
      </c>
      <c r="H81" s="47" t="n">
        <v>120</v>
      </c>
      <c r="I81" s="49" t="n">
        <v>0</v>
      </c>
    </row>
    <row r="82" customFormat="false" ht="15" hidden="false" customHeight="false" outlineLevel="0" collapsed="false">
      <c r="A82" s="47" t="s">
        <v>237</v>
      </c>
      <c r="B82" s="48" t="n">
        <v>45946</v>
      </c>
      <c r="C82" s="47" t="s">
        <v>65</v>
      </c>
      <c r="D82" s="47" t="s">
        <v>136</v>
      </c>
      <c r="E82" s="47" t="s">
        <v>184</v>
      </c>
      <c r="F82" s="47" t="s">
        <v>126</v>
      </c>
      <c r="G82" s="47" t="n">
        <v>5</v>
      </c>
      <c r="H82" s="47" t="n">
        <v>1800</v>
      </c>
      <c r="I82" s="49" t="n">
        <v>0.2</v>
      </c>
    </row>
    <row r="83" customFormat="false" ht="15" hidden="false" customHeight="false" outlineLevel="0" collapsed="false">
      <c r="A83" s="47" t="s">
        <v>238</v>
      </c>
      <c r="B83" s="48" t="n">
        <v>45748</v>
      </c>
      <c r="C83" s="47" t="s">
        <v>68</v>
      </c>
      <c r="D83" s="47" t="s">
        <v>124</v>
      </c>
      <c r="E83" s="47" t="s">
        <v>133</v>
      </c>
      <c r="F83" s="47" t="s">
        <v>126</v>
      </c>
      <c r="G83" s="47"/>
      <c r="H83" s="47" t="n">
        <v>22000</v>
      </c>
      <c r="I83" s="49" t="n">
        <v>0</v>
      </c>
    </row>
    <row r="84" customFormat="false" ht="15" hidden="false" customHeight="false" outlineLevel="0" collapsed="false">
      <c r="A84" s="47" t="s">
        <v>239</v>
      </c>
      <c r="B84" s="48" t="n">
        <v>45935</v>
      </c>
      <c r="C84" s="47" t="s">
        <v>68</v>
      </c>
      <c r="D84" s="47" t="s">
        <v>124</v>
      </c>
      <c r="E84" s="47" t="s">
        <v>146</v>
      </c>
      <c r="F84" s="47" t="s">
        <v>134</v>
      </c>
      <c r="G84" s="47" t="n">
        <v>3</v>
      </c>
      <c r="H84" s="47" t="n">
        <v>14000</v>
      </c>
      <c r="I84" s="49" t="n">
        <v>0</v>
      </c>
    </row>
    <row r="85" customFormat="false" ht="15" hidden="false" customHeight="false" outlineLevel="0" collapsed="false">
      <c r="A85" s="47" t="s">
        <v>240</v>
      </c>
      <c r="B85" s="48" t="n">
        <v>45701</v>
      </c>
      <c r="C85" s="47" t="s">
        <v>68</v>
      </c>
      <c r="D85" s="47" t="s">
        <v>124</v>
      </c>
      <c r="E85" s="47" t="s">
        <v>133</v>
      </c>
      <c r="F85" s="47" t="s">
        <v>126</v>
      </c>
      <c r="G85" s="47" t="n">
        <v>1</v>
      </c>
      <c r="H85" s="47" t="n">
        <v>22000</v>
      </c>
      <c r="I85" s="49" t="n">
        <v>0.15</v>
      </c>
    </row>
    <row r="86" customFormat="false" ht="15" hidden="false" customHeight="false" outlineLevel="0" collapsed="false">
      <c r="A86" s="47" t="s">
        <v>241</v>
      </c>
      <c r="B86" s="48" t="n">
        <v>45884</v>
      </c>
      <c r="C86" s="47" t="s">
        <v>68</v>
      </c>
      <c r="D86" s="47" t="s">
        <v>128</v>
      </c>
      <c r="E86" s="47" t="s">
        <v>155</v>
      </c>
      <c r="F86" s="47" t="s">
        <v>141</v>
      </c>
      <c r="G86" s="47" t="n">
        <v>14</v>
      </c>
      <c r="H86" s="47" t="n">
        <v>250</v>
      </c>
      <c r="I86" s="49" t="n">
        <v>0.1</v>
      </c>
    </row>
    <row r="87" customFormat="false" ht="15" hidden="false" customHeight="false" outlineLevel="0" collapsed="false">
      <c r="A87" s="47" t="s">
        <v>242</v>
      </c>
      <c r="B87" s="48" t="n">
        <v>45739</v>
      </c>
      <c r="C87" s="47" t="s">
        <v>68</v>
      </c>
      <c r="D87" s="47" t="s">
        <v>128</v>
      </c>
      <c r="E87" s="47" t="s">
        <v>155</v>
      </c>
      <c r="F87" s="47" t="s">
        <v>141</v>
      </c>
      <c r="G87" s="47" t="n">
        <v>5</v>
      </c>
      <c r="H87" s="47" t="n">
        <v>250</v>
      </c>
      <c r="I87" s="49" t="n">
        <v>0.1</v>
      </c>
    </row>
    <row r="88" customFormat="false" ht="15" hidden="false" customHeight="false" outlineLevel="0" collapsed="false">
      <c r="A88" s="47" t="s">
        <v>243</v>
      </c>
      <c r="B88" s="48" t="n">
        <v>45890</v>
      </c>
      <c r="C88" s="47" t="s">
        <v>67</v>
      </c>
      <c r="D88" s="47" t="s">
        <v>136</v>
      </c>
      <c r="E88" s="47" t="s">
        <v>184</v>
      </c>
      <c r="F88" s="47" t="s">
        <v>126</v>
      </c>
      <c r="G88" s="47" t="n">
        <v>4</v>
      </c>
      <c r="H88" s="47" t="n">
        <v>1800</v>
      </c>
      <c r="I88" s="49" t="n">
        <v>0.05</v>
      </c>
    </row>
    <row r="89" customFormat="false" ht="15" hidden="false" customHeight="false" outlineLevel="0" collapsed="false">
      <c r="A89" s="47" t="s">
        <v>244</v>
      </c>
      <c r="B89" s="48" t="n">
        <v>45742</v>
      </c>
      <c r="C89" s="47" t="s">
        <v>68</v>
      </c>
      <c r="D89" s="47" t="s">
        <v>136</v>
      </c>
      <c r="E89" s="47" t="s">
        <v>184</v>
      </c>
      <c r="F89" s="47" t="s">
        <v>126</v>
      </c>
      <c r="G89" s="47" t="n">
        <v>1</v>
      </c>
      <c r="H89" s="47" t="n">
        <v>1800</v>
      </c>
      <c r="I89" s="49"/>
    </row>
    <row r="90" customFormat="false" ht="15" hidden="false" customHeight="false" outlineLevel="0" collapsed="false">
      <c r="A90" s="47" t="s">
        <v>245</v>
      </c>
      <c r="B90" s="48" t="n">
        <v>45855</v>
      </c>
      <c r="C90" s="47" t="s">
        <v>65</v>
      </c>
      <c r="D90" s="47" t="s">
        <v>124</v>
      </c>
      <c r="E90" s="47" t="s">
        <v>125</v>
      </c>
      <c r="F90" s="47" t="s">
        <v>134</v>
      </c>
      <c r="G90" s="47" t="n">
        <v>2</v>
      </c>
      <c r="H90" s="47" t="n">
        <v>3500</v>
      </c>
      <c r="I90" s="49" t="n">
        <v>0</v>
      </c>
    </row>
    <row r="91" customFormat="false" ht="15" hidden="false" customHeight="false" outlineLevel="0" collapsed="false">
      <c r="A91" s="47" t="s">
        <v>246</v>
      </c>
      <c r="B91" s="48" t="n">
        <v>45868</v>
      </c>
      <c r="C91" s="47" t="s">
        <v>68</v>
      </c>
      <c r="D91" s="47" t="s">
        <v>124</v>
      </c>
      <c r="E91" s="47" t="s">
        <v>133</v>
      </c>
      <c r="F91" s="47" t="s">
        <v>134</v>
      </c>
      <c r="G91" s="47" t="n">
        <v>3</v>
      </c>
      <c r="H91" s="47" t="n">
        <v>22000</v>
      </c>
      <c r="I91" s="49" t="n">
        <v>0.2</v>
      </c>
    </row>
    <row r="92" customFormat="false" ht="15" hidden="false" customHeight="false" outlineLevel="0" collapsed="false">
      <c r="A92" s="47" t="s">
        <v>238</v>
      </c>
      <c r="B92" s="48" t="n">
        <v>45748</v>
      </c>
      <c r="C92" s="47" t="s">
        <v>68</v>
      </c>
      <c r="D92" s="47" t="s">
        <v>124</v>
      </c>
      <c r="E92" s="47" t="s">
        <v>133</v>
      </c>
      <c r="F92" s="47" t="s">
        <v>126</v>
      </c>
      <c r="G92" s="47"/>
      <c r="H92" s="47" t="n">
        <v>22000</v>
      </c>
      <c r="I92" s="49" t="n">
        <v>0</v>
      </c>
    </row>
    <row r="93" customFormat="false" ht="15" hidden="false" customHeight="false" outlineLevel="0" collapsed="false">
      <c r="A93" s="47" t="s">
        <v>247</v>
      </c>
      <c r="B93" s="48" t="n">
        <v>45949</v>
      </c>
      <c r="C93" s="47" t="s">
        <v>67</v>
      </c>
      <c r="D93" s="47" t="s">
        <v>128</v>
      </c>
      <c r="E93" s="47" t="s">
        <v>149</v>
      </c>
      <c r="F93" s="47" t="s">
        <v>134</v>
      </c>
      <c r="G93" s="47" t="n">
        <v>11</v>
      </c>
      <c r="H93" s="47" t="n">
        <v>450</v>
      </c>
      <c r="I93" s="49" t="n">
        <v>0.15</v>
      </c>
    </row>
    <row r="94" customFormat="false" ht="15" hidden="false" customHeight="false" outlineLevel="0" collapsed="false">
      <c r="A94" s="47" t="s">
        <v>248</v>
      </c>
      <c r="B94" s="48" t="n">
        <v>45742</v>
      </c>
      <c r="C94" s="47" t="s">
        <v>68</v>
      </c>
      <c r="D94" s="47" t="s">
        <v>124</v>
      </c>
      <c r="E94" s="47" t="s">
        <v>125</v>
      </c>
      <c r="F94" s="47" t="s">
        <v>126</v>
      </c>
      <c r="G94" s="47" t="n">
        <v>4</v>
      </c>
      <c r="H94" s="47" t="n">
        <v>3500</v>
      </c>
      <c r="I94" s="49" t="n">
        <v>0.15</v>
      </c>
    </row>
    <row r="95" customFormat="false" ht="15" hidden="false" customHeight="false" outlineLevel="0" collapsed="false">
      <c r="A95" s="47" t="s">
        <v>249</v>
      </c>
      <c r="B95" s="48" t="n">
        <v>45995</v>
      </c>
      <c r="C95" s="47" t="s">
        <v>250</v>
      </c>
      <c r="D95" s="47" t="s">
        <v>124</v>
      </c>
      <c r="E95" s="47" t="s">
        <v>133</v>
      </c>
      <c r="F95" s="47" t="s">
        <v>134</v>
      </c>
      <c r="G95" s="47" t="n">
        <v>1</v>
      </c>
      <c r="H95" s="47" t="n">
        <v>22000</v>
      </c>
      <c r="I95" s="49" t="n">
        <v>0.2</v>
      </c>
    </row>
    <row r="96" customFormat="false" ht="15" hidden="false" customHeight="false" outlineLevel="0" collapsed="false">
      <c r="A96" s="47" t="s">
        <v>251</v>
      </c>
      <c r="B96" s="48" t="n">
        <v>45979</v>
      </c>
      <c r="C96" s="47" t="s">
        <v>67</v>
      </c>
      <c r="D96" s="47" t="s">
        <v>128</v>
      </c>
      <c r="E96" s="47" t="s">
        <v>155</v>
      </c>
      <c r="F96" s="47" t="s">
        <v>126</v>
      </c>
      <c r="G96" s="47" t="n">
        <v>15</v>
      </c>
      <c r="H96" s="47" t="n">
        <v>250</v>
      </c>
      <c r="I96" s="49" t="n">
        <v>0.1</v>
      </c>
    </row>
    <row r="97" customFormat="false" ht="15" hidden="false" customHeight="false" outlineLevel="0" collapsed="false">
      <c r="A97" s="47" t="s">
        <v>252</v>
      </c>
      <c r="B97" s="47" t="s">
        <v>253</v>
      </c>
      <c r="C97" s="47" t="s">
        <v>67</v>
      </c>
      <c r="D97" s="47" t="s">
        <v>124</v>
      </c>
      <c r="E97" s="47" t="s">
        <v>133</v>
      </c>
      <c r="F97" s="47" t="s">
        <v>141</v>
      </c>
      <c r="G97" s="47" t="n">
        <v>1</v>
      </c>
      <c r="H97" s="47" t="n">
        <v>22000</v>
      </c>
      <c r="I97" s="49" t="n">
        <v>0.1</v>
      </c>
    </row>
    <row r="98" customFormat="false" ht="15" hidden="false" customHeight="false" outlineLevel="0" collapsed="false">
      <c r="A98" s="47" t="s">
        <v>254</v>
      </c>
      <c r="B98" s="48" t="n">
        <v>45793</v>
      </c>
      <c r="C98" s="47" t="s">
        <v>68</v>
      </c>
      <c r="D98" s="47" t="s">
        <v>128</v>
      </c>
      <c r="E98" s="47" t="s">
        <v>155</v>
      </c>
      <c r="F98" s="47" t="s">
        <v>126</v>
      </c>
      <c r="G98" s="47" t="n">
        <v>5</v>
      </c>
      <c r="H98" s="47" t="n">
        <v>250</v>
      </c>
      <c r="I98" s="49" t="n">
        <v>0.2</v>
      </c>
    </row>
    <row r="99" customFormat="false" ht="15" hidden="false" customHeight="false" outlineLevel="0" collapsed="false">
      <c r="A99" s="47" t="s">
        <v>255</v>
      </c>
      <c r="B99" s="48" t="n">
        <v>45688</v>
      </c>
      <c r="C99" s="47" t="s">
        <v>66</v>
      </c>
      <c r="D99" s="47" t="s">
        <v>128</v>
      </c>
      <c r="E99" s="47" t="s">
        <v>149</v>
      </c>
      <c r="F99" s="47" t="s">
        <v>134</v>
      </c>
      <c r="G99" s="47" t="n">
        <v>3</v>
      </c>
      <c r="H99" s="47" t="n">
        <v>450</v>
      </c>
      <c r="I99" s="49" t="n">
        <v>0.15</v>
      </c>
    </row>
    <row r="100" customFormat="false" ht="15" hidden="false" customHeight="false" outlineLevel="0" collapsed="false">
      <c r="A100" s="47" t="s">
        <v>256</v>
      </c>
      <c r="B100" s="48" t="n">
        <v>45923</v>
      </c>
      <c r="C100" s="47" t="s">
        <v>67</v>
      </c>
      <c r="D100" s="47" t="s">
        <v>136</v>
      </c>
      <c r="E100" s="47" t="s">
        <v>184</v>
      </c>
      <c r="F100" s="47" t="s">
        <v>126</v>
      </c>
      <c r="G100" s="47" t="n">
        <v>3</v>
      </c>
      <c r="H100" s="47" t="n">
        <v>1800</v>
      </c>
      <c r="I100" s="49" t="n">
        <v>0.2</v>
      </c>
    </row>
    <row r="101" customFormat="false" ht="15" hidden="false" customHeight="false" outlineLevel="0" collapsed="false">
      <c r="A101" s="47" t="s">
        <v>257</v>
      </c>
      <c r="B101" s="48" t="n">
        <v>45889</v>
      </c>
      <c r="C101" s="47" t="s">
        <v>66</v>
      </c>
      <c r="D101" s="47" t="s">
        <v>128</v>
      </c>
      <c r="E101" s="47" t="s">
        <v>149</v>
      </c>
      <c r="F101" s="47" t="s">
        <v>134</v>
      </c>
      <c r="G101" s="47" t="n">
        <v>8</v>
      </c>
      <c r="H101" s="47" t="n">
        <v>450</v>
      </c>
      <c r="I101" s="49" t="n">
        <v>0.05</v>
      </c>
    </row>
    <row r="102" customFormat="false" ht="15" hidden="false" customHeight="false" outlineLevel="0" collapsed="false">
      <c r="A102" s="47" t="s">
        <v>258</v>
      </c>
      <c r="B102" s="48" t="n">
        <v>45994</v>
      </c>
      <c r="C102" s="47" t="s">
        <v>67</v>
      </c>
      <c r="D102" s="47" t="s">
        <v>124</v>
      </c>
      <c r="E102" s="47" t="s">
        <v>131</v>
      </c>
      <c r="F102" s="47" t="s">
        <v>134</v>
      </c>
      <c r="G102" s="47" t="n">
        <v>4</v>
      </c>
      <c r="H102" s="47" t="n">
        <v>55000</v>
      </c>
      <c r="I102" s="49" t="n">
        <v>0</v>
      </c>
    </row>
    <row r="103" customFormat="false" ht="15" hidden="false" customHeight="false" outlineLevel="0" collapsed="false">
      <c r="A103" s="47" t="s">
        <v>195</v>
      </c>
      <c r="B103" s="48" t="n">
        <v>45708</v>
      </c>
      <c r="C103" s="47" t="s">
        <v>68</v>
      </c>
      <c r="D103" s="47" t="s">
        <v>128</v>
      </c>
      <c r="E103" s="47" t="s">
        <v>144</v>
      </c>
      <c r="F103" s="47" t="s">
        <v>141</v>
      </c>
      <c r="G103" s="47" t="n">
        <v>12</v>
      </c>
      <c r="H103" s="47" t="n">
        <v>180</v>
      </c>
      <c r="I103" s="49"/>
    </row>
    <row r="104" customFormat="false" ht="15" hidden="false" customHeight="false" outlineLevel="0" collapsed="false">
      <c r="A104" s="47" t="s">
        <v>259</v>
      </c>
      <c r="B104" s="48" t="n">
        <v>46014</v>
      </c>
      <c r="C104" s="47" t="s">
        <v>67</v>
      </c>
      <c r="D104" s="47" t="s">
        <v>124</v>
      </c>
      <c r="E104" s="47" t="s">
        <v>133</v>
      </c>
      <c r="F104" s="47" t="s">
        <v>141</v>
      </c>
      <c r="G104" s="47" t="n">
        <v>1</v>
      </c>
      <c r="H104" s="47" t="n">
        <v>22000</v>
      </c>
      <c r="I104" s="49" t="n">
        <v>0.15</v>
      </c>
    </row>
    <row r="105" customFormat="false" ht="15" hidden="false" customHeight="false" outlineLevel="0" collapsed="false">
      <c r="A105" s="47" t="s">
        <v>260</v>
      </c>
      <c r="B105" s="48" t="n">
        <v>45886</v>
      </c>
      <c r="C105" s="47" t="s">
        <v>261</v>
      </c>
      <c r="D105" s="47" t="s">
        <v>124</v>
      </c>
      <c r="E105" s="47" t="s">
        <v>125</v>
      </c>
      <c r="F105" s="47" t="s">
        <v>126</v>
      </c>
      <c r="G105" s="47" t="n">
        <v>3</v>
      </c>
      <c r="H105" s="47" t="n">
        <v>3500</v>
      </c>
      <c r="I105" s="49" t="n">
        <v>0.2</v>
      </c>
    </row>
    <row r="106" customFormat="false" ht="15" hidden="false" customHeight="false" outlineLevel="0" collapsed="false">
      <c r="A106" s="47" t="s">
        <v>262</v>
      </c>
      <c r="B106" s="48" t="n">
        <v>45818</v>
      </c>
      <c r="C106" s="47" t="s">
        <v>65</v>
      </c>
      <c r="D106" s="47" t="s">
        <v>124</v>
      </c>
      <c r="E106" s="47" t="s">
        <v>131</v>
      </c>
      <c r="F106" s="47" t="s">
        <v>126</v>
      </c>
      <c r="G106" s="47" t="n">
        <v>1</v>
      </c>
      <c r="H106" s="47" t="n">
        <v>55000</v>
      </c>
      <c r="I106" s="49" t="n">
        <v>0.15</v>
      </c>
    </row>
    <row r="107" customFormat="false" ht="15" hidden="false" customHeight="false" outlineLevel="0" collapsed="false">
      <c r="A107" s="47" t="s">
        <v>263</v>
      </c>
      <c r="B107" s="48" t="n">
        <v>45811</v>
      </c>
      <c r="C107" s="47" t="s">
        <v>67</v>
      </c>
      <c r="D107" s="47" t="s">
        <v>128</v>
      </c>
      <c r="E107" s="47" t="s">
        <v>129</v>
      </c>
      <c r="F107" s="47" t="s">
        <v>141</v>
      </c>
      <c r="G107" s="47" t="n">
        <v>13</v>
      </c>
      <c r="H107" s="47" t="n">
        <v>120</v>
      </c>
      <c r="I107" s="49" t="n">
        <v>0.1</v>
      </c>
    </row>
    <row r="108" customFormat="false" ht="15" hidden="false" customHeight="false" outlineLevel="0" collapsed="false">
      <c r="A108" s="47" t="s">
        <v>264</v>
      </c>
      <c r="B108" s="47" t="s">
        <v>265</v>
      </c>
      <c r="C108" s="47" t="s">
        <v>67</v>
      </c>
      <c r="D108" s="47" t="s">
        <v>128</v>
      </c>
      <c r="E108" s="47" t="s">
        <v>155</v>
      </c>
      <c r="F108" s="47" t="s">
        <v>141</v>
      </c>
      <c r="G108" s="47" t="n">
        <v>8</v>
      </c>
      <c r="H108" s="47" t="n">
        <v>250</v>
      </c>
      <c r="I108" s="49" t="n">
        <v>0.15</v>
      </c>
    </row>
    <row r="109" customFormat="false" ht="15" hidden="false" customHeight="false" outlineLevel="0" collapsed="false">
      <c r="A109" s="47" t="s">
        <v>266</v>
      </c>
      <c r="B109" s="48" t="n">
        <v>46006</v>
      </c>
      <c r="C109" s="47" t="s">
        <v>66</v>
      </c>
      <c r="D109" s="47" t="s">
        <v>128</v>
      </c>
      <c r="E109" s="47" t="s">
        <v>144</v>
      </c>
      <c r="F109" s="47" t="s">
        <v>126</v>
      </c>
      <c r="G109" s="47"/>
      <c r="H109" s="47" t="n">
        <v>180</v>
      </c>
      <c r="I109" s="49" t="n">
        <v>0.15</v>
      </c>
    </row>
    <row r="110" customFormat="false" ht="15" hidden="false" customHeight="false" outlineLevel="0" collapsed="false">
      <c r="A110" s="47" t="s">
        <v>267</v>
      </c>
      <c r="B110" s="48" t="n">
        <v>45830</v>
      </c>
      <c r="C110" s="47" t="s">
        <v>65</v>
      </c>
      <c r="D110" s="47" t="s">
        <v>124</v>
      </c>
      <c r="E110" s="47" t="s">
        <v>146</v>
      </c>
      <c r="F110" s="47" t="s">
        <v>134</v>
      </c>
      <c r="G110" s="47" t="n">
        <v>4</v>
      </c>
      <c r="H110" s="47" t="n">
        <v>14000</v>
      </c>
      <c r="I110" s="49" t="n">
        <v>0.05</v>
      </c>
    </row>
    <row r="111" customFormat="false" ht="15" hidden="false" customHeight="false" outlineLevel="0" collapsed="false">
      <c r="A111" s="47" t="s">
        <v>268</v>
      </c>
      <c r="B111" s="48" t="n">
        <v>45704</v>
      </c>
      <c r="C111" s="47" t="s">
        <v>171</v>
      </c>
      <c r="D111" s="47" t="s">
        <v>124</v>
      </c>
      <c r="E111" s="47" t="s">
        <v>125</v>
      </c>
      <c r="F111" s="47" t="s">
        <v>134</v>
      </c>
      <c r="G111" s="47" t="n">
        <v>2</v>
      </c>
      <c r="H111" s="47" t="n">
        <v>3500</v>
      </c>
      <c r="I111" s="49" t="n">
        <v>0.2</v>
      </c>
    </row>
    <row r="112" customFormat="false" ht="15" hidden="false" customHeight="false" outlineLevel="0" collapsed="false">
      <c r="A112" s="47" t="s">
        <v>269</v>
      </c>
      <c r="B112" s="48" t="n">
        <v>45692</v>
      </c>
      <c r="C112" s="47" t="s">
        <v>65</v>
      </c>
      <c r="D112" s="47" t="s">
        <v>124</v>
      </c>
      <c r="E112" s="47" t="s">
        <v>131</v>
      </c>
      <c r="F112" s="47" t="s">
        <v>134</v>
      </c>
      <c r="G112" s="47" t="n">
        <v>2</v>
      </c>
      <c r="H112" s="47" t="n">
        <v>55000</v>
      </c>
      <c r="I112" s="49"/>
    </row>
    <row r="113" customFormat="false" ht="15" hidden="false" customHeight="false" outlineLevel="0" collapsed="false">
      <c r="A113" s="47" t="s">
        <v>270</v>
      </c>
      <c r="B113" s="48" t="n">
        <v>45701</v>
      </c>
      <c r="C113" s="47" t="s">
        <v>67</v>
      </c>
      <c r="D113" s="47" t="s">
        <v>128</v>
      </c>
      <c r="E113" s="47" t="s">
        <v>149</v>
      </c>
      <c r="F113" s="47" t="s">
        <v>141</v>
      </c>
      <c r="G113" s="47"/>
      <c r="H113" s="47" t="n">
        <v>450</v>
      </c>
      <c r="I113" s="49" t="n">
        <v>0.2</v>
      </c>
    </row>
    <row r="114" customFormat="false" ht="15" hidden="false" customHeight="false" outlineLevel="0" collapsed="false">
      <c r="A114" s="47" t="s">
        <v>271</v>
      </c>
      <c r="B114" s="48" t="n">
        <v>45698</v>
      </c>
      <c r="C114" s="47" t="s">
        <v>68</v>
      </c>
      <c r="D114" s="47" t="s">
        <v>136</v>
      </c>
      <c r="E114" s="47" t="s">
        <v>184</v>
      </c>
      <c r="F114" s="47" t="s">
        <v>134</v>
      </c>
      <c r="G114" s="47" t="n">
        <v>5</v>
      </c>
      <c r="H114" s="47" t="n">
        <v>1800</v>
      </c>
      <c r="I114" s="49" t="n">
        <v>0.2</v>
      </c>
    </row>
    <row r="115" customFormat="false" ht="15" hidden="false" customHeight="false" outlineLevel="0" collapsed="false">
      <c r="A115" s="47" t="s">
        <v>272</v>
      </c>
      <c r="B115" s="48" t="n">
        <v>45677</v>
      </c>
      <c r="C115" s="47" t="s">
        <v>68</v>
      </c>
      <c r="D115" s="47" t="s">
        <v>128</v>
      </c>
      <c r="E115" s="47" t="s">
        <v>129</v>
      </c>
      <c r="F115" s="47" t="s">
        <v>126</v>
      </c>
      <c r="G115" s="47" t="n">
        <v>8</v>
      </c>
      <c r="H115" s="47" t="n">
        <v>120</v>
      </c>
      <c r="I115" s="49" t="n">
        <v>0</v>
      </c>
    </row>
    <row r="116" customFormat="false" ht="15" hidden="false" customHeight="false" outlineLevel="0" collapsed="false">
      <c r="A116" s="47" t="s">
        <v>273</v>
      </c>
      <c r="B116" s="48" t="n">
        <v>45894</v>
      </c>
      <c r="C116" s="47" t="s">
        <v>65</v>
      </c>
      <c r="D116" s="47" t="s">
        <v>124</v>
      </c>
      <c r="E116" s="47" t="s">
        <v>131</v>
      </c>
      <c r="F116" s="47" t="s">
        <v>134</v>
      </c>
      <c r="G116" s="47" t="n">
        <v>4</v>
      </c>
      <c r="H116" s="47" t="n">
        <v>55000</v>
      </c>
      <c r="I116" s="49" t="n">
        <v>0.15</v>
      </c>
    </row>
    <row r="117" customFormat="false" ht="15" hidden="false" customHeight="false" outlineLevel="0" collapsed="false">
      <c r="A117" s="47" t="s">
        <v>274</v>
      </c>
      <c r="B117" s="47" t="s">
        <v>275</v>
      </c>
      <c r="C117" s="47" t="s">
        <v>67</v>
      </c>
      <c r="D117" s="47" t="s">
        <v>128</v>
      </c>
      <c r="E117" s="47" t="s">
        <v>149</v>
      </c>
      <c r="F117" s="47" t="s">
        <v>126</v>
      </c>
      <c r="G117" s="47" t="n">
        <v>12</v>
      </c>
      <c r="H117" s="47" t="n">
        <v>450</v>
      </c>
      <c r="I117" s="49" t="n">
        <v>0.2</v>
      </c>
    </row>
    <row r="118" customFormat="false" ht="15" hidden="false" customHeight="false" outlineLevel="0" collapsed="false">
      <c r="A118" s="47" t="s">
        <v>276</v>
      </c>
      <c r="B118" s="48" t="n">
        <v>45669</v>
      </c>
      <c r="C118" s="47" t="s">
        <v>65</v>
      </c>
      <c r="D118" s="47" t="s">
        <v>136</v>
      </c>
      <c r="E118" s="47" t="s">
        <v>139</v>
      </c>
      <c r="F118" s="47" t="s">
        <v>134</v>
      </c>
      <c r="G118" s="47" t="n">
        <v>4</v>
      </c>
      <c r="H118" s="47" t="n">
        <v>6500</v>
      </c>
      <c r="I118" s="49" t="n">
        <v>0.15</v>
      </c>
    </row>
    <row r="119" customFormat="false" ht="15" hidden="false" customHeight="false" outlineLevel="0" collapsed="false">
      <c r="A119" s="47" t="s">
        <v>187</v>
      </c>
      <c r="B119" s="48" t="n">
        <v>45905</v>
      </c>
      <c r="C119" s="47" t="s">
        <v>66</v>
      </c>
      <c r="D119" s="47" t="s">
        <v>124</v>
      </c>
      <c r="E119" s="47" t="s">
        <v>125</v>
      </c>
      <c r="F119" s="47" t="s">
        <v>141</v>
      </c>
      <c r="G119" s="47" t="n">
        <v>3</v>
      </c>
      <c r="H119" s="47" t="n">
        <v>3500</v>
      </c>
      <c r="I119" s="49" t="n">
        <v>0.1</v>
      </c>
    </row>
    <row r="120" customFormat="false" ht="15" hidden="false" customHeight="false" outlineLevel="0" collapsed="false">
      <c r="A120" s="47" t="s">
        <v>277</v>
      </c>
      <c r="B120" s="48" t="n">
        <v>45940</v>
      </c>
      <c r="C120" s="47" t="s">
        <v>67</v>
      </c>
      <c r="D120" s="47" t="s">
        <v>128</v>
      </c>
      <c r="E120" s="47" t="s">
        <v>144</v>
      </c>
      <c r="F120" s="47" t="s">
        <v>141</v>
      </c>
      <c r="G120" s="47" t="n">
        <v>3</v>
      </c>
      <c r="H120" s="47" t="n">
        <v>180</v>
      </c>
      <c r="I120" s="49" t="n">
        <v>0.15</v>
      </c>
    </row>
    <row r="121" customFormat="false" ht="15" hidden="false" customHeight="false" outlineLevel="0" collapsed="false">
      <c r="A121" s="47" t="s">
        <v>278</v>
      </c>
      <c r="B121" s="48" t="n">
        <v>45787</v>
      </c>
      <c r="C121" s="47" t="s">
        <v>68</v>
      </c>
      <c r="D121" s="47" t="s">
        <v>136</v>
      </c>
      <c r="E121" s="47" t="s">
        <v>137</v>
      </c>
      <c r="F121" s="47" t="s">
        <v>126</v>
      </c>
      <c r="G121" s="47" t="n">
        <v>1</v>
      </c>
      <c r="H121" s="47" t="n">
        <v>12000</v>
      </c>
      <c r="I121" s="49" t="n">
        <v>0</v>
      </c>
    </row>
    <row r="122" customFormat="false" ht="15" hidden="false" customHeight="false" outlineLevel="0" collapsed="false">
      <c r="A122" s="47" t="s">
        <v>279</v>
      </c>
      <c r="B122" s="48" t="n">
        <v>45900</v>
      </c>
      <c r="C122" s="47" t="s">
        <v>65</v>
      </c>
      <c r="D122" s="47" t="s">
        <v>128</v>
      </c>
      <c r="E122" s="47" t="s">
        <v>149</v>
      </c>
      <c r="F122" s="47" t="s">
        <v>141</v>
      </c>
      <c r="G122" s="47" t="n">
        <v>4</v>
      </c>
      <c r="H122" s="47" t="n">
        <v>450</v>
      </c>
      <c r="I122" s="49" t="n">
        <v>0</v>
      </c>
    </row>
    <row r="123" customFormat="false" ht="15" hidden="false" customHeight="false" outlineLevel="0" collapsed="false">
      <c r="A123" s="47" t="s">
        <v>280</v>
      </c>
      <c r="B123" s="48" t="n">
        <v>45683</v>
      </c>
      <c r="C123" s="47" t="s">
        <v>67</v>
      </c>
      <c r="D123" s="47" t="s">
        <v>136</v>
      </c>
      <c r="E123" s="47" t="s">
        <v>184</v>
      </c>
      <c r="F123" s="47" t="s">
        <v>134</v>
      </c>
      <c r="G123" s="47" t="n">
        <v>2</v>
      </c>
      <c r="H123" s="47" t="n">
        <v>1800</v>
      </c>
      <c r="I123" s="49" t="n">
        <v>0.05</v>
      </c>
    </row>
    <row r="124" customFormat="false" ht="15" hidden="false" customHeight="false" outlineLevel="0" collapsed="false">
      <c r="A124" s="47" t="s">
        <v>281</v>
      </c>
      <c r="B124" s="48" t="n">
        <v>45724</v>
      </c>
      <c r="C124" s="47" t="s">
        <v>68</v>
      </c>
      <c r="D124" s="47" t="s">
        <v>124</v>
      </c>
      <c r="E124" s="47" t="s">
        <v>146</v>
      </c>
      <c r="F124" s="47" t="s">
        <v>141</v>
      </c>
      <c r="G124" s="47" t="n">
        <v>2</v>
      </c>
      <c r="H124" s="47" t="n">
        <v>14000</v>
      </c>
      <c r="I124" s="49" t="n">
        <v>0.2</v>
      </c>
    </row>
    <row r="125" customFormat="false" ht="15" hidden="false" customHeight="false" outlineLevel="0" collapsed="false">
      <c r="A125" s="47" t="s">
        <v>282</v>
      </c>
      <c r="B125" s="48" t="n">
        <v>45805</v>
      </c>
      <c r="C125" s="47" t="s">
        <v>283</v>
      </c>
      <c r="D125" s="47" t="s">
        <v>128</v>
      </c>
      <c r="E125" s="47" t="s">
        <v>144</v>
      </c>
      <c r="F125" s="47" t="s">
        <v>134</v>
      </c>
      <c r="G125" s="47" t="n">
        <v>3</v>
      </c>
      <c r="H125" s="47" t="n">
        <v>180</v>
      </c>
      <c r="I125" s="49" t="n">
        <v>0</v>
      </c>
    </row>
    <row r="126" customFormat="false" ht="15" hidden="false" customHeight="false" outlineLevel="0" collapsed="false">
      <c r="A126" s="47" t="s">
        <v>284</v>
      </c>
      <c r="B126" s="47" t="s">
        <v>285</v>
      </c>
      <c r="C126" s="47" t="s">
        <v>65</v>
      </c>
      <c r="D126" s="47" t="s">
        <v>136</v>
      </c>
      <c r="E126" s="47" t="s">
        <v>137</v>
      </c>
      <c r="F126" s="47" t="s">
        <v>126</v>
      </c>
      <c r="G126" s="47" t="n">
        <v>4</v>
      </c>
      <c r="H126" s="47" t="n">
        <v>12000</v>
      </c>
      <c r="I126" s="49" t="n">
        <v>0</v>
      </c>
    </row>
    <row r="127" customFormat="false" ht="15" hidden="false" customHeight="false" outlineLevel="0" collapsed="false">
      <c r="A127" s="47" t="s">
        <v>286</v>
      </c>
      <c r="B127" s="48" t="n">
        <v>45677</v>
      </c>
      <c r="C127" s="47" t="s">
        <v>65</v>
      </c>
      <c r="D127" s="47" t="s">
        <v>124</v>
      </c>
      <c r="E127" s="47" t="s">
        <v>146</v>
      </c>
      <c r="F127" s="47" t="s">
        <v>134</v>
      </c>
      <c r="G127" s="47" t="n">
        <v>4</v>
      </c>
      <c r="H127" s="47" t="n">
        <v>14000</v>
      </c>
      <c r="I127" s="49" t="n">
        <v>0.05</v>
      </c>
    </row>
    <row r="128" customFormat="false" ht="15" hidden="false" customHeight="false" outlineLevel="0" collapsed="false">
      <c r="A128" s="47" t="s">
        <v>287</v>
      </c>
      <c r="B128" s="48" t="n">
        <v>45691</v>
      </c>
      <c r="C128" s="47" t="s">
        <v>66</v>
      </c>
      <c r="D128" s="47" t="s">
        <v>128</v>
      </c>
      <c r="E128" s="47" t="s">
        <v>144</v>
      </c>
      <c r="F128" s="47" t="s">
        <v>141</v>
      </c>
      <c r="G128" s="47" t="n">
        <v>6</v>
      </c>
      <c r="H128" s="47" t="n">
        <v>180</v>
      </c>
      <c r="I128" s="49"/>
    </row>
    <row r="129" customFormat="false" ht="15" hidden="false" customHeight="false" outlineLevel="0" collapsed="false">
      <c r="A129" s="47" t="s">
        <v>288</v>
      </c>
      <c r="B129" s="48" t="n">
        <v>45703</v>
      </c>
      <c r="C129" s="47" t="s">
        <v>68</v>
      </c>
      <c r="D129" s="47" t="s">
        <v>124</v>
      </c>
      <c r="E129" s="47" t="s">
        <v>146</v>
      </c>
      <c r="F129" s="47" t="s">
        <v>126</v>
      </c>
      <c r="G129" s="47" t="n">
        <v>3</v>
      </c>
      <c r="H129" s="47" t="n">
        <v>14000</v>
      </c>
      <c r="I129" s="49" t="n">
        <v>0</v>
      </c>
    </row>
    <row r="130" customFormat="false" ht="15" hidden="false" customHeight="false" outlineLevel="0" collapsed="false">
      <c r="A130" s="47" t="s">
        <v>289</v>
      </c>
      <c r="B130" s="48" t="n">
        <v>45666</v>
      </c>
      <c r="C130" s="47" t="s">
        <v>67</v>
      </c>
      <c r="D130" s="47" t="s">
        <v>136</v>
      </c>
      <c r="E130" s="47" t="s">
        <v>139</v>
      </c>
      <c r="F130" s="47" t="s">
        <v>134</v>
      </c>
      <c r="G130" s="47" t="n">
        <v>4</v>
      </c>
      <c r="H130" s="47" t="n">
        <v>6500</v>
      </c>
      <c r="I130" s="49" t="n">
        <v>0.2</v>
      </c>
    </row>
    <row r="131" customFormat="false" ht="15" hidden="false" customHeight="false" outlineLevel="0" collapsed="false">
      <c r="A131" s="47" t="s">
        <v>290</v>
      </c>
      <c r="B131" s="48" t="n">
        <v>45818</v>
      </c>
      <c r="C131" s="47" t="s">
        <v>68</v>
      </c>
      <c r="D131" s="47" t="s">
        <v>136</v>
      </c>
      <c r="E131" s="47" t="s">
        <v>139</v>
      </c>
      <c r="F131" s="47" t="s">
        <v>141</v>
      </c>
      <c r="G131" s="47" t="n">
        <v>6</v>
      </c>
      <c r="H131" s="47" t="n">
        <v>6500</v>
      </c>
      <c r="I131" s="49"/>
    </row>
    <row r="132" customFormat="false" ht="15" hidden="false" customHeight="false" outlineLevel="0" collapsed="false">
      <c r="A132" s="47" t="s">
        <v>291</v>
      </c>
      <c r="B132" s="48" t="n">
        <v>45705</v>
      </c>
      <c r="C132" s="47" t="s">
        <v>68</v>
      </c>
      <c r="D132" s="47" t="s">
        <v>124</v>
      </c>
      <c r="E132" s="47" t="s">
        <v>125</v>
      </c>
      <c r="F132" s="47" t="s">
        <v>126</v>
      </c>
      <c r="G132" s="47" t="n">
        <v>1</v>
      </c>
      <c r="H132" s="47" t="n">
        <v>3500</v>
      </c>
      <c r="I132" s="49" t="n">
        <v>0.05</v>
      </c>
    </row>
    <row r="133" customFormat="false" ht="15" hidden="false" customHeight="false" outlineLevel="0" collapsed="false">
      <c r="A133" s="47" t="s">
        <v>292</v>
      </c>
      <c r="B133" s="48" t="n">
        <v>46003</v>
      </c>
      <c r="C133" s="47" t="s">
        <v>204</v>
      </c>
      <c r="D133" s="47" t="s">
        <v>128</v>
      </c>
      <c r="E133" s="47" t="s">
        <v>155</v>
      </c>
      <c r="F133" s="47" t="s">
        <v>134</v>
      </c>
      <c r="G133" s="47" t="n">
        <v>3</v>
      </c>
      <c r="H133" s="47" t="n">
        <v>250</v>
      </c>
      <c r="I133" s="49" t="n">
        <v>0</v>
      </c>
    </row>
    <row r="134" customFormat="false" ht="15" hidden="false" customHeight="false" outlineLevel="0" collapsed="false">
      <c r="A134" s="47" t="s">
        <v>293</v>
      </c>
      <c r="B134" s="48" t="n">
        <v>45868</v>
      </c>
      <c r="C134" s="47" t="s">
        <v>67</v>
      </c>
      <c r="D134" s="47" t="s">
        <v>124</v>
      </c>
      <c r="E134" s="47" t="s">
        <v>125</v>
      </c>
      <c r="F134" s="47" t="s">
        <v>141</v>
      </c>
      <c r="G134" s="47" t="n">
        <v>1</v>
      </c>
      <c r="H134" s="47" t="n">
        <v>3500</v>
      </c>
      <c r="I134" s="49" t="n">
        <v>0.1</v>
      </c>
    </row>
    <row r="135" customFormat="false" ht="15" hidden="false" customHeight="false" outlineLevel="0" collapsed="false">
      <c r="A135" s="47" t="s">
        <v>294</v>
      </c>
      <c r="B135" s="48" t="n">
        <v>45943</v>
      </c>
      <c r="C135" s="47" t="s">
        <v>68</v>
      </c>
      <c r="D135" s="47" t="s">
        <v>136</v>
      </c>
      <c r="E135" s="47" t="s">
        <v>139</v>
      </c>
      <c r="F135" s="47" t="s">
        <v>134</v>
      </c>
      <c r="G135" s="47" t="n">
        <v>1</v>
      </c>
      <c r="H135" s="47" t="n">
        <v>6500</v>
      </c>
      <c r="I135" s="49" t="n">
        <v>0.05</v>
      </c>
    </row>
    <row r="136" customFormat="false" ht="15" hidden="false" customHeight="false" outlineLevel="0" collapsed="false">
      <c r="A136" s="47" t="s">
        <v>295</v>
      </c>
      <c r="B136" s="47" t="s">
        <v>296</v>
      </c>
      <c r="C136" s="47" t="s">
        <v>67</v>
      </c>
      <c r="D136" s="47" t="s">
        <v>136</v>
      </c>
      <c r="E136" s="47" t="s">
        <v>137</v>
      </c>
      <c r="F136" s="47" t="s">
        <v>126</v>
      </c>
      <c r="G136" s="47" t="n">
        <v>2</v>
      </c>
      <c r="H136" s="47" t="n">
        <v>12000</v>
      </c>
      <c r="I136" s="49" t="n">
        <v>0</v>
      </c>
    </row>
    <row r="137" customFormat="false" ht="15" hidden="false" customHeight="false" outlineLevel="0" collapsed="false">
      <c r="A137" s="47" t="s">
        <v>297</v>
      </c>
      <c r="B137" s="48" t="n">
        <v>45778</v>
      </c>
      <c r="C137" s="47" t="s">
        <v>250</v>
      </c>
      <c r="D137" s="47" t="s">
        <v>128</v>
      </c>
      <c r="E137" s="47" t="s">
        <v>155</v>
      </c>
      <c r="F137" s="47" t="s">
        <v>126</v>
      </c>
      <c r="G137" s="47" t="n">
        <v>3</v>
      </c>
      <c r="H137" s="47" t="n">
        <v>250</v>
      </c>
      <c r="I137" s="49" t="n">
        <v>0</v>
      </c>
    </row>
    <row r="138" customFormat="false" ht="15" hidden="false" customHeight="false" outlineLevel="0" collapsed="false">
      <c r="A138" s="47" t="s">
        <v>298</v>
      </c>
      <c r="B138" s="48" t="n">
        <v>45883</v>
      </c>
      <c r="C138" s="47" t="s">
        <v>68</v>
      </c>
      <c r="D138" s="47" t="s">
        <v>128</v>
      </c>
      <c r="E138" s="47" t="s">
        <v>144</v>
      </c>
      <c r="F138" s="47" t="s">
        <v>134</v>
      </c>
      <c r="G138" s="47" t="n">
        <v>8</v>
      </c>
      <c r="H138" s="47" t="n">
        <v>180</v>
      </c>
      <c r="I138" s="49" t="n">
        <v>0</v>
      </c>
    </row>
    <row r="139" customFormat="false" ht="15" hidden="false" customHeight="false" outlineLevel="0" collapsed="false">
      <c r="A139" s="47" t="s">
        <v>299</v>
      </c>
      <c r="B139" s="47" t="s">
        <v>300</v>
      </c>
      <c r="C139" s="47" t="s">
        <v>67</v>
      </c>
      <c r="D139" s="47" t="s">
        <v>128</v>
      </c>
      <c r="E139" s="47" t="s">
        <v>129</v>
      </c>
      <c r="F139" s="47" t="s">
        <v>126</v>
      </c>
      <c r="G139" s="47" t="n">
        <v>4</v>
      </c>
      <c r="H139" s="47" t="n">
        <v>120</v>
      </c>
      <c r="I139" s="49" t="n">
        <v>0.15</v>
      </c>
    </row>
    <row r="140" customFormat="false" ht="15" hidden="false" customHeight="false" outlineLevel="0" collapsed="false">
      <c r="A140" s="47" t="s">
        <v>301</v>
      </c>
      <c r="B140" s="48" t="n">
        <v>45659</v>
      </c>
      <c r="C140" s="47" t="s">
        <v>68</v>
      </c>
      <c r="D140" s="47" t="s">
        <v>124</v>
      </c>
      <c r="E140" s="47" t="s">
        <v>131</v>
      </c>
      <c r="F140" s="47" t="s">
        <v>134</v>
      </c>
      <c r="G140" s="47" t="n">
        <v>2</v>
      </c>
      <c r="H140" s="47" t="n">
        <v>55000</v>
      </c>
      <c r="I140" s="49" t="n">
        <v>0.2</v>
      </c>
    </row>
    <row r="141" customFormat="false" ht="15" hidden="false" customHeight="false" outlineLevel="0" collapsed="false">
      <c r="A141" s="47" t="s">
        <v>302</v>
      </c>
      <c r="B141" s="48" t="n">
        <v>45888</v>
      </c>
      <c r="C141" s="47" t="s">
        <v>67</v>
      </c>
      <c r="D141" s="47" t="s">
        <v>128</v>
      </c>
      <c r="E141" s="47" t="s">
        <v>149</v>
      </c>
      <c r="F141" s="47" t="s">
        <v>126</v>
      </c>
      <c r="G141" s="47" t="s">
        <v>303</v>
      </c>
      <c r="H141" s="47" t="n">
        <v>450</v>
      </c>
      <c r="I141" s="49" t="n">
        <v>0.1</v>
      </c>
    </row>
    <row r="142" customFormat="false" ht="15" hidden="false" customHeight="false" outlineLevel="0" collapsed="false">
      <c r="A142" s="47" t="s">
        <v>304</v>
      </c>
      <c r="B142" s="48" t="n">
        <v>45800</v>
      </c>
      <c r="C142" s="47" t="s">
        <v>65</v>
      </c>
      <c r="D142" s="47" t="s">
        <v>128</v>
      </c>
      <c r="E142" s="47" t="s">
        <v>144</v>
      </c>
      <c r="F142" s="47" t="s">
        <v>134</v>
      </c>
      <c r="G142" s="47" t="n">
        <v>7</v>
      </c>
      <c r="H142" s="47" t="n">
        <v>180</v>
      </c>
      <c r="I142" s="49" t="n">
        <v>0.05</v>
      </c>
    </row>
    <row r="143" customFormat="false" ht="15" hidden="false" customHeight="false" outlineLevel="0" collapsed="false">
      <c r="A143" s="47" t="s">
        <v>305</v>
      </c>
      <c r="B143" s="48" t="n">
        <v>45730</v>
      </c>
      <c r="C143" s="47"/>
      <c r="D143" s="47" t="s">
        <v>128</v>
      </c>
      <c r="E143" s="47" t="s">
        <v>144</v>
      </c>
      <c r="F143" s="47" t="s">
        <v>141</v>
      </c>
      <c r="G143" s="47" t="n">
        <v>3</v>
      </c>
      <c r="H143" s="47" t="n">
        <v>180</v>
      </c>
      <c r="I143" s="49" t="n">
        <v>0.2</v>
      </c>
    </row>
    <row r="144" customFormat="false" ht="15" hidden="false" customHeight="false" outlineLevel="0" collapsed="false">
      <c r="A144" s="47" t="s">
        <v>306</v>
      </c>
      <c r="B144" s="48" t="n">
        <v>45986</v>
      </c>
      <c r="C144" s="47" t="s">
        <v>66</v>
      </c>
      <c r="D144" s="47" t="s">
        <v>136</v>
      </c>
      <c r="E144" s="47" t="s">
        <v>160</v>
      </c>
      <c r="F144" s="47" t="s">
        <v>141</v>
      </c>
      <c r="G144" s="47" t="n">
        <v>5</v>
      </c>
      <c r="H144" s="47" t="n">
        <v>8500</v>
      </c>
      <c r="I144" s="49" t="n">
        <v>0.15</v>
      </c>
    </row>
    <row r="145" customFormat="false" ht="15" hidden="false" customHeight="false" outlineLevel="0" collapsed="false">
      <c r="A145" s="47" t="s">
        <v>307</v>
      </c>
      <c r="B145" s="48" t="n">
        <v>45828</v>
      </c>
      <c r="C145" s="47" t="s">
        <v>204</v>
      </c>
      <c r="D145" s="47" t="s">
        <v>136</v>
      </c>
      <c r="E145" s="47" t="s">
        <v>160</v>
      </c>
      <c r="F145" s="47" t="s">
        <v>126</v>
      </c>
      <c r="G145" s="47" t="n">
        <v>5</v>
      </c>
      <c r="H145" s="47" t="n">
        <v>8500</v>
      </c>
      <c r="I145" s="49" t="n">
        <v>0.05</v>
      </c>
    </row>
    <row r="146" customFormat="false" ht="15" hidden="false" customHeight="false" outlineLevel="0" collapsed="false">
      <c r="A146" s="47" t="s">
        <v>308</v>
      </c>
      <c r="B146" s="47" t="s">
        <v>309</v>
      </c>
      <c r="C146" s="47" t="s">
        <v>65</v>
      </c>
      <c r="D146" s="47" t="s">
        <v>136</v>
      </c>
      <c r="E146" s="47" t="s">
        <v>139</v>
      </c>
      <c r="F146" s="47" t="s">
        <v>126</v>
      </c>
      <c r="G146" s="47" t="n">
        <v>5</v>
      </c>
      <c r="H146" s="47" t="n">
        <v>6500</v>
      </c>
      <c r="I146" s="49" t="n">
        <v>0</v>
      </c>
    </row>
    <row r="147" customFormat="false" ht="15" hidden="false" customHeight="false" outlineLevel="0" collapsed="false">
      <c r="A147" s="47" t="s">
        <v>310</v>
      </c>
      <c r="B147" s="48" t="n">
        <v>45676</v>
      </c>
      <c r="C147" s="47" t="s">
        <v>66</v>
      </c>
      <c r="D147" s="47" t="s">
        <v>128</v>
      </c>
      <c r="E147" s="47" t="s">
        <v>144</v>
      </c>
      <c r="F147" s="47" t="s">
        <v>134</v>
      </c>
      <c r="G147" s="47" t="n">
        <v>6</v>
      </c>
      <c r="H147" s="47" t="n">
        <v>180</v>
      </c>
      <c r="I147" s="49" t="n">
        <v>0.05</v>
      </c>
    </row>
    <row r="148" customFormat="false" ht="15" hidden="false" customHeight="false" outlineLevel="0" collapsed="false">
      <c r="A148" s="47" t="s">
        <v>311</v>
      </c>
      <c r="B148" s="48" t="n">
        <v>45790</v>
      </c>
      <c r="C148" s="47" t="s">
        <v>66</v>
      </c>
      <c r="D148" s="47" t="s">
        <v>128</v>
      </c>
      <c r="E148" s="47" t="s">
        <v>144</v>
      </c>
      <c r="F148" s="47" t="s">
        <v>141</v>
      </c>
      <c r="G148" s="47" t="n">
        <v>9</v>
      </c>
      <c r="H148" s="47" t="n">
        <v>180</v>
      </c>
      <c r="I148" s="49" t="n">
        <v>0.05</v>
      </c>
    </row>
    <row r="149" customFormat="false" ht="15" hidden="false" customHeight="false" outlineLevel="0" collapsed="false">
      <c r="A149" s="47" t="s">
        <v>312</v>
      </c>
      <c r="B149" s="48" t="n">
        <v>45706</v>
      </c>
      <c r="C149" s="47" t="s">
        <v>67</v>
      </c>
      <c r="D149" s="47" t="s">
        <v>128</v>
      </c>
      <c r="E149" s="47" t="s">
        <v>144</v>
      </c>
      <c r="F149" s="47" t="s">
        <v>134</v>
      </c>
      <c r="G149" s="47" t="n">
        <v>8</v>
      </c>
      <c r="H149" s="47" t="n">
        <v>180</v>
      </c>
      <c r="I149" s="49" t="n">
        <v>0.05</v>
      </c>
    </row>
    <row r="150" customFormat="false" ht="15" hidden="false" customHeight="false" outlineLevel="0" collapsed="false">
      <c r="A150" s="47" t="s">
        <v>313</v>
      </c>
      <c r="B150" s="48" t="n">
        <v>45927</v>
      </c>
      <c r="C150" s="47" t="s">
        <v>68</v>
      </c>
      <c r="D150" s="47" t="s">
        <v>124</v>
      </c>
      <c r="E150" s="47" t="s">
        <v>146</v>
      </c>
      <c r="F150" s="47" t="s">
        <v>134</v>
      </c>
      <c r="G150" s="47" t="n">
        <v>4</v>
      </c>
      <c r="H150" s="47" t="n">
        <v>14000</v>
      </c>
      <c r="I150" s="49" t="n">
        <v>0.15</v>
      </c>
    </row>
    <row r="151" customFormat="false" ht="15" hidden="false" customHeight="false" outlineLevel="0" collapsed="false">
      <c r="A151" s="47" t="s">
        <v>291</v>
      </c>
      <c r="B151" s="48" t="n">
        <v>45705</v>
      </c>
      <c r="C151" s="47" t="s">
        <v>68</v>
      </c>
      <c r="D151" s="47" t="s">
        <v>124</v>
      </c>
      <c r="E151" s="47" t="s">
        <v>125</v>
      </c>
      <c r="F151" s="47" t="s">
        <v>126</v>
      </c>
      <c r="G151" s="47" t="n">
        <v>1</v>
      </c>
      <c r="H151" s="47" t="n">
        <v>3500</v>
      </c>
      <c r="I151" s="49" t="n">
        <v>0.05</v>
      </c>
    </row>
    <row r="152" customFormat="false" ht="15" hidden="false" customHeight="false" outlineLevel="0" collapsed="false">
      <c r="A152" s="47" t="s">
        <v>314</v>
      </c>
      <c r="B152" s="48" t="n">
        <v>45874</v>
      </c>
      <c r="C152" s="47" t="s">
        <v>66</v>
      </c>
      <c r="D152" s="47" t="s">
        <v>124</v>
      </c>
      <c r="E152" s="47" t="s">
        <v>146</v>
      </c>
      <c r="F152" s="47" t="s">
        <v>134</v>
      </c>
      <c r="G152" s="47" t="n">
        <v>2</v>
      </c>
      <c r="H152" s="47" t="n">
        <v>14000</v>
      </c>
      <c r="I152" s="49" t="n">
        <v>0.1</v>
      </c>
    </row>
    <row r="153" customFormat="false" ht="15" hidden="false" customHeight="false" outlineLevel="0" collapsed="false">
      <c r="A153" s="47" t="s">
        <v>315</v>
      </c>
      <c r="B153" s="48" t="n">
        <v>45773</v>
      </c>
      <c r="C153" s="47" t="s">
        <v>66</v>
      </c>
      <c r="D153" s="47" t="s">
        <v>136</v>
      </c>
      <c r="E153" s="47" t="s">
        <v>184</v>
      </c>
      <c r="F153" s="47" t="s">
        <v>126</v>
      </c>
      <c r="G153" s="47" t="n">
        <v>2</v>
      </c>
      <c r="H153" s="47" t="n">
        <v>1800</v>
      </c>
      <c r="I153" s="49" t="n">
        <v>0</v>
      </c>
    </row>
    <row r="154" customFormat="false" ht="15" hidden="false" customHeight="false" outlineLevel="0" collapsed="false">
      <c r="A154" s="47" t="s">
        <v>316</v>
      </c>
      <c r="B154" s="48" t="n">
        <v>45790</v>
      </c>
      <c r="C154" s="47" t="s">
        <v>67</v>
      </c>
      <c r="D154" s="47" t="s">
        <v>124</v>
      </c>
      <c r="E154" s="47" t="s">
        <v>133</v>
      </c>
      <c r="F154" s="47" t="s">
        <v>134</v>
      </c>
      <c r="G154" s="47" t="n">
        <v>3</v>
      </c>
      <c r="H154" s="47" t="n">
        <v>22000</v>
      </c>
      <c r="I154" s="49" t="n">
        <v>0.15</v>
      </c>
    </row>
    <row r="155" customFormat="false" ht="15" hidden="false" customHeight="false" outlineLevel="0" collapsed="false">
      <c r="A155" s="47" t="s">
        <v>317</v>
      </c>
      <c r="B155" s="48" t="n">
        <v>45798</v>
      </c>
      <c r="C155" s="47" t="s">
        <v>65</v>
      </c>
      <c r="D155" s="47" t="s">
        <v>124</v>
      </c>
      <c r="E155" s="47" t="s">
        <v>146</v>
      </c>
      <c r="F155" s="47" t="s">
        <v>134</v>
      </c>
      <c r="G155" s="47" t="n">
        <v>3</v>
      </c>
      <c r="H155" s="47" t="n">
        <v>14000</v>
      </c>
      <c r="I155" s="49" t="n">
        <v>0.15</v>
      </c>
    </row>
    <row r="156" customFormat="false" ht="15" hidden="false" customHeight="false" outlineLevel="0" collapsed="false">
      <c r="A156" s="47" t="s">
        <v>318</v>
      </c>
      <c r="B156" s="48" t="n">
        <v>45992</v>
      </c>
      <c r="C156" s="47" t="s">
        <v>65</v>
      </c>
      <c r="D156" s="47" t="s">
        <v>136</v>
      </c>
      <c r="E156" s="47" t="s">
        <v>139</v>
      </c>
      <c r="F156" s="47" t="s">
        <v>141</v>
      </c>
      <c r="G156" s="47" t="n">
        <v>5</v>
      </c>
      <c r="H156" s="47" t="n">
        <v>6500</v>
      </c>
      <c r="I156" s="49" t="n">
        <v>0.15</v>
      </c>
    </row>
    <row r="157" customFormat="false" ht="15" hidden="false" customHeight="false" outlineLevel="0" collapsed="false">
      <c r="A157" s="47" t="s">
        <v>319</v>
      </c>
      <c r="B157" s="48" t="n">
        <v>45874</v>
      </c>
      <c r="C157" s="47" t="s">
        <v>68</v>
      </c>
      <c r="D157" s="47" t="s">
        <v>124</v>
      </c>
      <c r="E157" s="47" t="s">
        <v>146</v>
      </c>
      <c r="F157" s="47" t="s">
        <v>134</v>
      </c>
      <c r="G157" s="47" t="n">
        <v>3</v>
      </c>
      <c r="H157" s="47" t="n">
        <v>14000</v>
      </c>
      <c r="I157" s="49" t="n">
        <v>0.2</v>
      </c>
    </row>
    <row r="158" customFormat="false" ht="15" hidden="false" customHeight="false" outlineLevel="0" collapsed="false">
      <c r="A158" s="47" t="s">
        <v>320</v>
      </c>
      <c r="B158" s="48" t="n">
        <v>45968</v>
      </c>
      <c r="C158" s="47" t="s">
        <v>66</v>
      </c>
      <c r="D158" s="47" t="s">
        <v>128</v>
      </c>
      <c r="E158" s="47" t="s">
        <v>144</v>
      </c>
      <c r="F158" s="47" t="s">
        <v>134</v>
      </c>
      <c r="G158" s="47" t="n">
        <v>4</v>
      </c>
      <c r="H158" s="47" t="n">
        <v>180</v>
      </c>
      <c r="I158" s="49" t="n">
        <v>0.15</v>
      </c>
    </row>
    <row r="159" customFormat="false" ht="15" hidden="false" customHeight="false" outlineLevel="0" collapsed="false">
      <c r="A159" s="47" t="s">
        <v>321</v>
      </c>
      <c r="B159" s="48" t="n">
        <v>45758</v>
      </c>
      <c r="C159" s="47" t="s">
        <v>67</v>
      </c>
      <c r="D159" s="47" t="s">
        <v>128</v>
      </c>
      <c r="E159" s="47" t="s">
        <v>129</v>
      </c>
      <c r="F159" s="47" t="s">
        <v>126</v>
      </c>
      <c r="G159" s="47" t="n">
        <v>6</v>
      </c>
      <c r="H159" s="47" t="n">
        <v>120</v>
      </c>
      <c r="I159" s="49" t="n">
        <v>0.2</v>
      </c>
    </row>
    <row r="160" customFormat="false" ht="15" hidden="false" customHeight="false" outlineLevel="0" collapsed="false">
      <c r="A160" s="47" t="s">
        <v>322</v>
      </c>
      <c r="B160" s="47" t="s">
        <v>323</v>
      </c>
      <c r="C160" s="47" t="s">
        <v>67</v>
      </c>
      <c r="D160" s="47" t="s">
        <v>124</v>
      </c>
      <c r="E160" s="47" t="s">
        <v>133</v>
      </c>
      <c r="F160" s="47" t="s">
        <v>126</v>
      </c>
      <c r="G160" s="47" t="n">
        <v>2</v>
      </c>
      <c r="H160" s="47" t="n">
        <v>22000</v>
      </c>
      <c r="I160" s="49" t="n">
        <v>0.15</v>
      </c>
    </row>
    <row r="161" customFormat="false" ht="15" hidden="false" customHeight="false" outlineLevel="0" collapsed="false">
      <c r="A161" s="47" t="s">
        <v>324</v>
      </c>
      <c r="B161" s="48" t="n">
        <v>45885</v>
      </c>
      <c r="C161" s="47" t="s">
        <v>67</v>
      </c>
      <c r="D161" s="47" t="s">
        <v>124</v>
      </c>
      <c r="E161" s="47" t="s">
        <v>125</v>
      </c>
      <c r="F161" s="47" t="s">
        <v>141</v>
      </c>
      <c r="G161" s="47" t="n">
        <v>2</v>
      </c>
      <c r="H161" s="47" t="n">
        <v>3500</v>
      </c>
      <c r="I161" s="49" t="n">
        <v>0.1</v>
      </c>
    </row>
    <row r="162" customFormat="false" ht="15" hidden="false" customHeight="false" outlineLevel="0" collapsed="false">
      <c r="A162" s="47" t="s">
        <v>325</v>
      </c>
      <c r="B162" s="48" t="n">
        <v>45934</v>
      </c>
      <c r="C162" s="47" t="s">
        <v>67</v>
      </c>
      <c r="D162" s="47" t="s">
        <v>136</v>
      </c>
      <c r="E162" s="47" t="s">
        <v>137</v>
      </c>
      <c r="F162" s="47" t="s">
        <v>141</v>
      </c>
      <c r="G162" s="47" t="n">
        <v>2</v>
      </c>
      <c r="H162" s="47" t="n">
        <v>12000</v>
      </c>
      <c r="I162" s="49" t="n">
        <v>0.15</v>
      </c>
    </row>
    <row r="163" customFormat="false" ht="15" hidden="false" customHeight="false" outlineLevel="0" collapsed="false">
      <c r="A163" s="47" t="s">
        <v>326</v>
      </c>
      <c r="B163" s="48" t="n">
        <v>45736</v>
      </c>
      <c r="C163" s="47" t="s">
        <v>68</v>
      </c>
      <c r="D163" s="47" t="s">
        <v>128</v>
      </c>
      <c r="E163" s="47" t="s">
        <v>144</v>
      </c>
      <c r="F163" s="47" t="s">
        <v>126</v>
      </c>
      <c r="G163" s="47" t="n">
        <v>13</v>
      </c>
      <c r="H163" s="47" t="n">
        <v>180</v>
      </c>
      <c r="I163" s="49" t="n">
        <v>0.2</v>
      </c>
    </row>
    <row r="164" customFormat="false" ht="15" hidden="false" customHeight="false" outlineLevel="0" collapsed="false">
      <c r="A164" s="47" t="s">
        <v>327</v>
      </c>
      <c r="B164" s="48" t="n">
        <v>45898</v>
      </c>
      <c r="C164" s="47" t="s">
        <v>66</v>
      </c>
      <c r="D164" s="47" t="s">
        <v>124</v>
      </c>
      <c r="E164" s="47" t="s">
        <v>133</v>
      </c>
      <c r="F164" s="47" t="s">
        <v>134</v>
      </c>
      <c r="G164" s="47" t="n">
        <v>3</v>
      </c>
      <c r="H164" s="47" t="n">
        <v>22000</v>
      </c>
      <c r="I164" s="49" t="n">
        <v>0.2</v>
      </c>
    </row>
    <row r="165" customFormat="false" ht="15" hidden="false" customHeight="false" outlineLevel="0" collapsed="false">
      <c r="A165" s="47" t="s">
        <v>328</v>
      </c>
      <c r="B165" s="48" t="n">
        <v>45933</v>
      </c>
      <c r="C165" s="47" t="s">
        <v>68</v>
      </c>
      <c r="D165" s="47" t="s">
        <v>136</v>
      </c>
      <c r="E165" s="47" t="s">
        <v>139</v>
      </c>
      <c r="F165" s="47" t="s">
        <v>134</v>
      </c>
      <c r="G165" s="47" t="n">
        <v>5</v>
      </c>
      <c r="H165" s="47" t="n">
        <v>6500</v>
      </c>
      <c r="I165" s="49" t="n">
        <v>0.1</v>
      </c>
    </row>
    <row r="166" customFormat="false" ht="15" hidden="false" customHeight="false" outlineLevel="0" collapsed="false">
      <c r="A166" s="47" t="s">
        <v>329</v>
      </c>
      <c r="B166" s="48" t="n">
        <v>45892</v>
      </c>
      <c r="C166" s="47" t="s">
        <v>65</v>
      </c>
      <c r="D166" s="47" t="s">
        <v>128</v>
      </c>
      <c r="E166" s="47" t="s">
        <v>129</v>
      </c>
      <c r="F166" s="47" t="s">
        <v>134</v>
      </c>
      <c r="G166" s="47" t="n">
        <v>13</v>
      </c>
      <c r="H166" s="47" t="n">
        <v>120</v>
      </c>
      <c r="I166" s="49" t="n">
        <v>0</v>
      </c>
    </row>
    <row r="167" customFormat="false" ht="15" hidden="false" customHeight="false" outlineLevel="0" collapsed="false">
      <c r="A167" s="47" t="s">
        <v>330</v>
      </c>
      <c r="B167" s="48" t="n">
        <v>45959</v>
      </c>
      <c r="C167" s="47" t="s">
        <v>67</v>
      </c>
      <c r="D167" s="47" t="s">
        <v>128</v>
      </c>
      <c r="E167" s="47" t="s">
        <v>155</v>
      </c>
      <c r="F167" s="47" t="s">
        <v>126</v>
      </c>
      <c r="G167" s="47" t="n">
        <v>13</v>
      </c>
      <c r="H167" s="47" t="n">
        <v>250</v>
      </c>
      <c r="I167" s="49" t="n">
        <v>0</v>
      </c>
    </row>
    <row r="168" customFormat="false" ht="15" hidden="false" customHeight="false" outlineLevel="0" collapsed="false">
      <c r="A168" s="47" t="s">
        <v>331</v>
      </c>
      <c r="B168" s="48" t="n">
        <v>45720</v>
      </c>
      <c r="C168" s="47" t="s">
        <v>67</v>
      </c>
      <c r="D168" s="47" t="s">
        <v>124</v>
      </c>
      <c r="E168" s="47" t="s">
        <v>133</v>
      </c>
      <c r="F168" s="47" t="s">
        <v>134</v>
      </c>
      <c r="G168" s="47" t="n">
        <v>4</v>
      </c>
      <c r="H168" s="47" t="n">
        <v>22000</v>
      </c>
      <c r="I168" s="49" t="n">
        <v>0</v>
      </c>
    </row>
    <row r="169" customFormat="false" ht="15" hidden="false" customHeight="false" outlineLevel="0" collapsed="false">
      <c r="A169" s="47" t="s">
        <v>332</v>
      </c>
      <c r="B169" s="48" t="n">
        <v>45943</v>
      </c>
      <c r="C169" s="47" t="s">
        <v>67</v>
      </c>
      <c r="D169" s="47" t="s">
        <v>128</v>
      </c>
      <c r="E169" s="47" t="s">
        <v>144</v>
      </c>
      <c r="F169" s="47" t="s">
        <v>126</v>
      </c>
      <c r="G169" s="47" t="n">
        <v>15</v>
      </c>
      <c r="H169" s="47" t="n">
        <v>180</v>
      </c>
      <c r="I169" s="49" t="n">
        <v>0.1</v>
      </c>
    </row>
    <row r="170" customFormat="false" ht="15" hidden="false" customHeight="false" outlineLevel="0" collapsed="false">
      <c r="A170" s="47" t="s">
        <v>333</v>
      </c>
      <c r="B170" s="48" t="n">
        <v>45779</v>
      </c>
      <c r="C170" s="47" t="s">
        <v>66</v>
      </c>
      <c r="D170" s="47" t="s">
        <v>128</v>
      </c>
      <c r="E170" s="47" t="s">
        <v>129</v>
      </c>
      <c r="F170" s="47" t="s">
        <v>134</v>
      </c>
      <c r="G170" s="47" t="n">
        <v>3</v>
      </c>
      <c r="H170" s="47" t="n">
        <v>120</v>
      </c>
      <c r="I170" s="49" t="n">
        <v>0.1</v>
      </c>
    </row>
    <row r="171" customFormat="false" ht="15" hidden="false" customHeight="false" outlineLevel="0" collapsed="false">
      <c r="A171" s="47" t="s">
        <v>334</v>
      </c>
      <c r="B171" s="48" t="n">
        <v>45793</v>
      </c>
      <c r="C171" s="47" t="s">
        <v>65</v>
      </c>
      <c r="D171" s="47" t="s">
        <v>124</v>
      </c>
      <c r="E171" s="47" t="s">
        <v>131</v>
      </c>
      <c r="F171" s="47" t="s">
        <v>126</v>
      </c>
      <c r="G171" s="47" t="n">
        <v>2</v>
      </c>
      <c r="H171" s="47" t="n">
        <v>55000</v>
      </c>
      <c r="I171" s="49" t="n">
        <v>0.2</v>
      </c>
    </row>
    <row r="172" customFormat="false" ht="15" hidden="false" customHeight="false" outlineLevel="0" collapsed="false">
      <c r="A172" s="47" t="s">
        <v>335</v>
      </c>
      <c r="B172" s="48" t="n">
        <v>45941</v>
      </c>
      <c r="C172" s="47" t="s">
        <v>336</v>
      </c>
      <c r="D172" s="47" t="s">
        <v>124</v>
      </c>
      <c r="E172" s="47" t="s">
        <v>125</v>
      </c>
      <c r="F172" s="47" t="s">
        <v>134</v>
      </c>
      <c r="G172" s="47" t="n">
        <v>4</v>
      </c>
      <c r="H172" s="47" t="n">
        <v>3500</v>
      </c>
      <c r="I172" s="49" t="n">
        <v>0.2</v>
      </c>
    </row>
    <row r="173" customFormat="false" ht="15" hidden="false" customHeight="false" outlineLevel="0" collapsed="false">
      <c r="A173" s="47" t="s">
        <v>337</v>
      </c>
      <c r="B173" s="48" t="n">
        <v>45875</v>
      </c>
      <c r="C173" s="47" t="s">
        <v>66</v>
      </c>
      <c r="D173" s="47" t="s">
        <v>124</v>
      </c>
      <c r="E173" s="47" t="s">
        <v>131</v>
      </c>
      <c r="F173" s="47" t="s">
        <v>126</v>
      </c>
      <c r="G173" s="47" t="s">
        <v>338</v>
      </c>
      <c r="H173" s="47" t="n">
        <v>55000</v>
      </c>
      <c r="I173" s="49" t="n">
        <v>0.2</v>
      </c>
    </row>
    <row r="174" customFormat="false" ht="15" hidden="false" customHeight="false" outlineLevel="0" collapsed="false">
      <c r="A174" s="47" t="s">
        <v>339</v>
      </c>
      <c r="B174" s="48" t="n">
        <v>45777</v>
      </c>
      <c r="C174" s="47" t="s">
        <v>65</v>
      </c>
      <c r="D174" s="47" t="s">
        <v>124</v>
      </c>
      <c r="E174" s="47" t="s">
        <v>125</v>
      </c>
      <c r="F174" s="47" t="s">
        <v>134</v>
      </c>
      <c r="G174" s="47" t="n">
        <v>1</v>
      </c>
      <c r="H174" s="47" t="n">
        <v>3500</v>
      </c>
      <c r="I174" s="49" t="n">
        <v>0.05</v>
      </c>
    </row>
    <row r="175" customFormat="false" ht="15" hidden="false" customHeight="false" outlineLevel="0" collapsed="false">
      <c r="A175" s="47" t="s">
        <v>340</v>
      </c>
      <c r="B175" s="48" t="n">
        <v>45854</v>
      </c>
      <c r="C175" s="47" t="s">
        <v>68</v>
      </c>
      <c r="D175" s="47" t="s">
        <v>124</v>
      </c>
      <c r="E175" s="47" t="s">
        <v>131</v>
      </c>
      <c r="F175" s="47" t="s">
        <v>126</v>
      </c>
      <c r="G175" s="47" t="s">
        <v>221</v>
      </c>
      <c r="H175" s="47" t="n">
        <v>55000</v>
      </c>
      <c r="I175" s="49" t="n">
        <v>0</v>
      </c>
    </row>
    <row r="176" customFormat="false" ht="15" hidden="false" customHeight="false" outlineLevel="0" collapsed="false">
      <c r="A176" s="47" t="s">
        <v>341</v>
      </c>
      <c r="B176" s="48" t="n">
        <v>45786</v>
      </c>
      <c r="C176" s="47" t="s">
        <v>65</v>
      </c>
      <c r="D176" s="47" t="s">
        <v>136</v>
      </c>
      <c r="E176" s="47" t="s">
        <v>184</v>
      </c>
      <c r="F176" s="47" t="s">
        <v>141</v>
      </c>
      <c r="G176" s="47" t="n">
        <v>5</v>
      </c>
      <c r="H176" s="47" t="n">
        <v>1800</v>
      </c>
      <c r="I176" s="49" t="n">
        <v>0.2</v>
      </c>
    </row>
    <row r="177" customFormat="false" ht="15" hidden="false" customHeight="false" outlineLevel="0" collapsed="false">
      <c r="A177" s="47" t="s">
        <v>342</v>
      </c>
      <c r="B177" s="48" t="n">
        <v>45831</v>
      </c>
      <c r="C177" s="47" t="s">
        <v>65</v>
      </c>
      <c r="D177" s="47" t="s">
        <v>128</v>
      </c>
      <c r="E177" s="47" t="s">
        <v>144</v>
      </c>
      <c r="F177" s="47" t="s">
        <v>141</v>
      </c>
      <c r="G177" s="47" t="n">
        <v>8</v>
      </c>
      <c r="H177" s="47" t="n">
        <v>180</v>
      </c>
      <c r="I177" s="49" t="n">
        <v>0.2</v>
      </c>
    </row>
    <row r="178" customFormat="false" ht="15" hidden="false" customHeight="false" outlineLevel="0" collapsed="false">
      <c r="A178" s="47" t="s">
        <v>343</v>
      </c>
      <c r="B178" s="48" t="n">
        <v>45659</v>
      </c>
      <c r="C178" s="47" t="s">
        <v>67</v>
      </c>
      <c r="D178" s="47" t="s">
        <v>128</v>
      </c>
      <c r="E178" s="47" t="s">
        <v>155</v>
      </c>
      <c r="F178" s="47" t="s">
        <v>141</v>
      </c>
      <c r="G178" s="47" t="n">
        <v>15</v>
      </c>
      <c r="H178" s="47" t="n">
        <v>250</v>
      </c>
      <c r="I178" s="49" t="n">
        <v>0.05</v>
      </c>
    </row>
    <row r="179" customFormat="false" ht="15" hidden="false" customHeight="false" outlineLevel="0" collapsed="false">
      <c r="A179" s="47" t="s">
        <v>344</v>
      </c>
      <c r="B179" s="48" t="n">
        <v>45963</v>
      </c>
      <c r="C179" s="47" t="s">
        <v>65</v>
      </c>
      <c r="D179" s="47" t="s">
        <v>124</v>
      </c>
      <c r="E179" s="47" t="s">
        <v>133</v>
      </c>
      <c r="F179" s="47" t="s">
        <v>134</v>
      </c>
      <c r="G179" s="47" t="n">
        <v>4</v>
      </c>
      <c r="H179" s="47" t="n">
        <v>22000</v>
      </c>
      <c r="I179" s="49" t="n">
        <v>0.1</v>
      </c>
    </row>
    <row r="180" customFormat="false" ht="15" hidden="false" customHeight="false" outlineLevel="0" collapsed="false">
      <c r="A180" s="47" t="s">
        <v>345</v>
      </c>
      <c r="B180" s="48" t="n">
        <v>45934</v>
      </c>
      <c r="C180" s="47" t="s">
        <v>346</v>
      </c>
      <c r="D180" s="47" t="s">
        <v>128</v>
      </c>
      <c r="E180" s="47" t="s">
        <v>144</v>
      </c>
      <c r="F180" s="47" t="s">
        <v>134</v>
      </c>
      <c r="G180" s="47" t="n">
        <v>2</v>
      </c>
      <c r="H180" s="47" t="n">
        <v>180</v>
      </c>
      <c r="I180" s="49" t="n">
        <v>0</v>
      </c>
    </row>
    <row r="181" customFormat="false" ht="15" hidden="false" customHeight="false" outlineLevel="0" collapsed="false">
      <c r="A181" s="47" t="s">
        <v>347</v>
      </c>
      <c r="B181" s="48" t="n">
        <v>45812</v>
      </c>
      <c r="C181" s="47" t="s">
        <v>65</v>
      </c>
      <c r="D181" s="47" t="s">
        <v>124</v>
      </c>
      <c r="E181" s="47" t="s">
        <v>125</v>
      </c>
      <c r="F181" s="47" t="s">
        <v>141</v>
      </c>
      <c r="G181" s="47" t="n">
        <v>2</v>
      </c>
      <c r="H181" s="47" t="n">
        <v>3500</v>
      </c>
      <c r="I181" s="49" t="n">
        <v>0.15</v>
      </c>
    </row>
    <row r="182" customFormat="false" ht="15" hidden="false" customHeight="false" outlineLevel="0" collapsed="false">
      <c r="A182" s="47" t="s">
        <v>348</v>
      </c>
      <c r="B182" s="48" t="n">
        <v>45824</v>
      </c>
      <c r="C182" s="47" t="s">
        <v>65</v>
      </c>
      <c r="D182" s="47" t="s">
        <v>136</v>
      </c>
      <c r="E182" s="47" t="s">
        <v>137</v>
      </c>
      <c r="F182" s="47" t="s">
        <v>126</v>
      </c>
      <c r="G182" s="47" t="n">
        <v>6</v>
      </c>
      <c r="H182" s="47" t="n">
        <v>12000</v>
      </c>
      <c r="I182" s="49" t="n">
        <v>0</v>
      </c>
    </row>
    <row r="183" customFormat="false" ht="15" hidden="false" customHeight="false" outlineLevel="0" collapsed="false">
      <c r="A183" s="47" t="s">
        <v>349</v>
      </c>
      <c r="B183" s="48" t="n">
        <v>45715</v>
      </c>
      <c r="C183" s="47" t="s">
        <v>67</v>
      </c>
      <c r="D183" s="47" t="s">
        <v>124</v>
      </c>
      <c r="E183" s="47" t="s">
        <v>125</v>
      </c>
      <c r="F183" s="47" t="s">
        <v>134</v>
      </c>
      <c r="G183" s="47" t="n">
        <v>3</v>
      </c>
      <c r="H183" s="47" t="n">
        <v>3500</v>
      </c>
      <c r="I183" s="49" t="n">
        <v>0</v>
      </c>
    </row>
    <row r="184" customFormat="false" ht="15" hidden="false" customHeight="false" outlineLevel="0" collapsed="false">
      <c r="A184" s="47" t="s">
        <v>350</v>
      </c>
      <c r="B184" s="47" t="s">
        <v>351</v>
      </c>
      <c r="C184" s="47" t="s">
        <v>66</v>
      </c>
      <c r="D184" s="47" t="s">
        <v>124</v>
      </c>
      <c r="E184" s="47" t="s">
        <v>131</v>
      </c>
      <c r="F184" s="47" t="s">
        <v>141</v>
      </c>
      <c r="G184" s="47" t="n">
        <v>1</v>
      </c>
      <c r="H184" s="47" t="n">
        <v>55000</v>
      </c>
      <c r="I184" s="49" t="n">
        <v>0.05</v>
      </c>
    </row>
    <row r="185" customFormat="false" ht="15" hidden="false" customHeight="false" outlineLevel="0" collapsed="false">
      <c r="A185" s="47" t="s">
        <v>352</v>
      </c>
      <c r="B185" s="48" t="n">
        <v>45835</v>
      </c>
      <c r="C185" s="47" t="s">
        <v>65</v>
      </c>
      <c r="D185" s="47" t="s">
        <v>128</v>
      </c>
      <c r="E185" s="47" t="s">
        <v>155</v>
      </c>
      <c r="F185" s="47" t="s">
        <v>141</v>
      </c>
      <c r="G185" s="47" t="n">
        <v>12</v>
      </c>
      <c r="H185" s="47" t="n">
        <v>250</v>
      </c>
      <c r="I185" s="49" t="n">
        <v>0.15</v>
      </c>
    </row>
    <row r="186" customFormat="false" ht="15" hidden="false" customHeight="false" outlineLevel="0" collapsed="false">
      <c r="A186" s="47" t="s">
        <v>353</v>
      </c>
      <c r="B186" s="48" t="n">
        <v>45798</v>
      </c>
      <c r="C186" s="47" t="s">
        <v>66</v>
      </c>
      <c r="D186" s="47" t="s">
        <v>128</v>
      </c>
      <c r="E186" s="47" t="s">
        <v>129</v>
      </c>
      <c r="F186" s="47" t="s">
        <v>126</v>
      </c>
      <c r="G186" s="47" t="n">
        <v>13</v>
      </c>
      <c r="H186" s="47" t="n">
        <v>120</v>
      </c>
      <c r="I186" s="49" t="n">
        <v>0</v>
      </c>
    </row>
    <row r="187" customFormat="false" ht="15" hidden="false" customHeight="false" outlineLevel="0" collapsed="false">
      <c r="A187" s="47" t="s">
        <v>354</v>
      </c>
      <c r="B187" s="48" t="n">
        <v>45723</v>
      </c>
      <c r="C187" s="47" t="s">
        <v>66</v>
      </c>
      <c r="D187" s="47" t="s">
        <v>136</v>
      </c>
      <c r="E187" s="47" t="s">
        <v>139</v>
      </c>
      <c r="F187" s="47" t="s">
        <v>134</v>
      </c>
      <c r="G187" s="47"/>
      <c r="H187" s="47" t="n">
        <v>6500</v>
      </c>
      <c r="I187" s="49" t="n">
        <v>0.2</v>
      </c>
    </row>
    <row r="188" customFormat="false" ht="15" hidden="false" customHeight="false" outlineLevel="0" collapsed="false">
      <c r="A188" s="47" t="s">
        <v>355</v>
      </c>
      <c r="B188" s="48" t="n">
        <v>45663</v>
      </c>
      <c r="C188" s="47" t="s">
        <v>66</v>
      </c>
      <c r="D188" s="47" t="s">
        <v>128</v>
      </c>
      <c r="E188" s="47" t="s">
        <v>155</v>
      </c>
      <c r="F188" s="47" t="s">
        <v>126</v>
      </c>
      <c r="G188" s="47" t="n">
        <v>10</v>
      </c>
      <c r="H188" s="47" t="n">
        <v>250</v>
      </c>
      <c r="I188" s="49" t="n">
        <v>0</v>
      </c>
    </row>
    <row r="189" customFormat="false" ht="15" hidden="false" customHeight="false" outlineLevel="0" collapsed="false">
      <c r="A189" s="47" t="s">
        <v>356</v>
      </c>
      <c r="B189" s="48" t="n">
        <v>45879</v>
      </c>
      <c r="C189" s="47" t="s">
        <v>346</v>
      </c>
      <c r="D189" s="47" t="s">
        <v>136</v>
      </c>
      <c r="E189" s="47" t="s">
        <v>137</v>
      </c>
      <c r="F189" s="47" t="s">
        <v>126</v>
      </c>
      <c r="G189" s="47" t="n">
        <v>2</v>
      </c>
      <c r="H189" s="47" t="n">
        <v>12000</v>
      </c>
      <c r="I189" s="49" t="n">
        <v>0.15</v>
      </c>
    </row>
    <row r="190" customFormat="false" ht="15" hidden="false" customHeight="false" outlineLevel="0" collapsed="false">
      <c r="A190" s="47" t="s">
        <v>357</v>
      </c>
      <c r="B190" s="48" t="n">
        <v>46017</v>
      </c>
      <c r="C190" s="47" t="s">
        <v>65</v>
      </c>
      <c r="D190" s="47" t="s">
        <v>128</v>
      </c>
      <c r="E190" s="47" t="s">
        <v>129</v>
      </c>
      <c r="F190" s="47" t="s">
        <v>141</v>
      </c>
      <c r="G190" s="47" t="n">
        <v>14</v>
      </c>
      <c r="H190" s="47" t="n">
        <v>120</v>
      </c>
      <c r="I190" s="49" t="n">
        <v>0.2</v>
      </c>
    </row>
    <row r="191" customFormat="false" ht="15" hidden="false" customHeight="false" outlineLevel="0" collapsed="false">
      <c r="A191" s="47" t="s">
        <v>358</v>
      </c>
      <c r="B191" s="48" t="n">
        <v>45829</v>
      </c>
      <c r="C191" s="47" t="s">
        <v>67</v>
      </c>
      <c r="D191" s="47" t="s">
        <v>128</v>
      </c>
      <c r="E191" s="47" t="s">
        <v>149</v>
      </c>
      <c r="F191" s="47" t="s">
        <v>141</v>
      </c>
      <c r="G191" s="47" t="n">
        <v>6</v>
      </c>
      <c r="H191" s="47" t="n">
        <v>450</v>
      </c>
      <c r="I191" s="49" t="n">
        <v>0</v>
      </c>
    </row>
    <row r="192" customFormat="false" ht="15" hidden="false" customHeight="false" outlineLevel="0" collapsed="false">
      <c r="A192" s="47" t="s">
        <v>359</v>
      </c>
      <c r="B192" s="48" t="n">
        <v>45956</v>
      </c>
      <c r="C192" s="47" t="s">
        <v>68</v>
      </c>
      <c r="D192" s="47" t="s">
        <v>124</v>
      </c>
      <c r="E192" s="47" t="s">
        <v>133</v>
      </c>
      <c r="F192" s="47" t="s">
        <v>126</v>
      </c>
      <c r="G192" s="47" t="n">
        <v>1</v>
      </c>
      <c r="H192" s="47" t="n">
        <v>22000</v>
      </c>
      <c r="I192" s="49" t="n">
        <v>0.15</v>
      </c>
    </row>
    <row r="193" customFormat="false" ht="15" hidden="false" customHeight="false" outlineLevel="0" collapsed="false">
      <c r="A193" s="47" t="s">
        <v>360</v>
      </c>
      <c r="B193" s="48" t="n">
        <v>45776</v>
      </c>
      <c r="C193" s="47" t="s">
        <v>67</v>
      </c>
      <c r="D193" s="47" t="s">
        <v>136</v>
      </c>
      <c r="E193" s="47" t="s">
        <v>139</v>
      </c>
      <c r="F193" s="47" t="s">
        <v>141</v>
      </c>
      <c r="G193" s="47" t="n">
        <v>1</v>
      </c>
      <c r="H193" s="47" t="n">
        <v>6500</v>
      </c>
      <c r="I193" s="49" t="n">
        <v>0.05</v>
      </c>
    </row>
    <row r="194" customFormat="false" ht="15" hidden="false" customHeight="false" outlineLevel="0" collapsed="false">
      <c r="A194" s="47" t="s">
        <v>361</v>
      </c>
      <c r="B194" s="48" t="n">
        <v>45883</v>
      </c>
      <c r="C194" s="47" t="s">
        <v>65</v>
      </c>
      <c r="D194" s="47" t="s">
        <v>124</v>
      </c>
      <c r="E194" s="47" t="s">
        <v>125</v>
      </c>
      <c r="F194" s="47" t="s">
        <v>141</v>
      </c>
      <c r="G194" s="47"/>
      <c r="H194" s="47" t="n">
        <v>3500</v>
      </c>
      <c r="I194" s="49" t="n">
        <v>0.1</v>
      </c>
    </row>
    <row r="195" customFormat="false" ht="15" hidden="false" customHeight="false" outlineLevel="0" collapsed="false">
      <c r="A195" s="47" t="s">
        <v>362</v>
      </c>
      <c r="B195" s="48" t="n">
        <v>45797</v>
      </c>
      <c r="C195" s="47" t="s">
        <v>66</v>
      </c>
      <c r="D195" s="47" t="s">
        <v>136</v>
      </c>
      <c r="E195" s="47" t="s">
        <v>184</v>
      </c>
      <c r="F195" s="47" t="s">
        <v>141</v>
      </c>
      <c r="G195" s="47" t="n">
        <v>4</v>
      </c>
      <c r="H195" s="47" t="n">
        <v>1800</v>
      </c>
      <c r="I195" s="49" t="n">
        <v>0</v>
      </c>
    </row>
    <row r="196" customFormat="false" ht="15" hidden="false" customHeight="false" outlineLevel="0" collapsed="false">
      <c r="A196" s="47" t="s">
        <v>363</v>
      </c>
      <c r="B196" s="48" t="n">
        <v>45802</v>
      </c>
      <c r="C196" s="47" t="s">
        <v>68</v>
      </c>
      <c r="D196" s="47" t="s">
        <v>128</v>
      </c>
      <c r="E196" s="47" t="s">
        <v>144</v>
      </c>
      <c r="F196" s="47" t="s">
        <v>141</v>
      </c>
      <c r="G196" s="47" t="n">
        <v>9</v>
      </c>
      <c r="H196" s="47" t="n">
        <v>180</v>
      </c>
      <c r="I196" s="49" t="n">
        <v>0.15</v>
      </c>
    </row>
    <row r="197" customFormat="false" ht="15" hidden="false" customHeight="false" outlineLevel="0" collapsed="false">
      <c r="A197" s="47" t="s">
        <v>364</v>
      </c>
      <c r="B197" s="48" t="n">
        <v>45797</v>
      </c>
      <c r="C197" s="47" t="s">
        <v>68</v>
      </c>
      <c r="D197" s="47" t="s">
        <v>124</v>
      </c>
      <c r="E197" s="47" t="s">
        <v>131</v>
      </c>
      <c r="F197" s="47" t="s">
        <v>141</v>
      </c>
      <c r="G197" s="47" t="n">
        <v>1</v>
      </c>
      <c r="H197" s="47" t="n">
        <v>55000</v>
      </c>
      <c r="I197" s="49" t="n">
        <v>0.1</v>
      </c>
    </row>
    <row r="198" customFormat="false" ht="15" hidden="false" customHeight="false" outlineLevel="0" collapsed="false">
      <c r="A198" s="47" t="s">
        <v>365</v>
      </c>
      <c r="B198" s="48" t="n">
        <v>45895</v>
      </c>
      <c r="C198" s="47" t="s">
        <v>68</v>
      </c>
      <c r="D198" s="47" t="s">
        <v>136</v>
      </c>
      <c r="E198" s="47" t="s">
        <v>137</v>
      </c>
      <c r="F198" s="47" t="s">
        <v>141</v>
      </c>
      <c r="G198" s="47" t="n">
        <v>6</v>
      </c>
      <c r="H198" s="47" t="n">
        <v>12000</v>
      </c>
      <c r="I198" s="49" t="n">
        <v>0</v>
      </c>
    </row>
    <row r="199" customFormat="false" ht="15" hidden="false" customHeight="false" outlineLevel="0" collapsed="false">
      <c r="A199" s="47" t="s">
        <v>298</v>
      </c>
      <c r="B199" s="48" t="n">
        <v>45883</v>
      </c>
      <c r="C199" s="47" t="s">
        <v>68</v>
      </c>
      <c r="D199" s="47" t="s">
        <v>128</v>
      </c>
      <c r="E199" s="47" t="s">
        <v>144</v>
      </c>
      <c r="F199" s="47" t="s">
        <v>134</v>
      </c>
      <c r="G199" s="47" t="n">
        <v>8</v>
      </c>
      <c r="H199" s="47" t="n">
        <v>180</v>
      </c>
      <c r="I199" s="49" t="n">
        <v>0</v>
      </c>
    </row>
    <row r="200" customFormat="false" ht="15" hidden="false" customHeight="false" outlineLevel="0" collapsed="false">
      <c r="A200" s="47" t="s">
        <v>366</v>
      </c>
      <c r="B200" s="48" t="n">
        <v>45939</v>
      </c>
      <c r="C200" s="47" t="s">
        <v>65</v>
      </c>
      <c r="D200" s="47" t="s">
        <v>124</v>
      </c>
      <c r="E200" s="47" t="s">
        <v>131</v>
      </c>
      <c r="F200" s="47" t="s">
        <v>126</v>
      </c>
      <c r="G200" s="47" t="n">
        <v>4</v>
      </c>
      <c r="H200" s="47" t="n">
        <v>55000</v>
      </c>
      <c r="I200" s="49" t="n">
        <v>0.2</v>
      </c>
    </row>
    <row r="201" customFormat="false" ht="15" hidden="false" customHeight="false" outlineLevel="0" collapsed="false">
      <c r="A201" s="47" t="s">
        <v>363</v>
      </c>
      <c r="B201" s="48" t="n">
        <v>45802</v>
      </c>
      <c r="C201" s="47" t="s">
        <v>68</v>
      </c>
      <c r="D201" s="47" t="s">
        <v>128</v>
      </c>
      <c r="E201" s="47" t="s">
        <v>144</v>
      </c>
      <c r="F201" s="47" t="s">
        <v>141</v>
      </c>
      <c r="G201" s="47" t="n">
        <v>9</v>
      </c>
      <c r="H201" s="47" t="n">
        <v>180</v>
      </c>
      <c r="I201" s="49" t="n">
        <v>0.15</v>
      </c>
    </row>
    <row r="202" customFormat="false" ht="15" hidden="false" customHeight="false" outlineLevel="0" collapsed="false">
      <c r="A202" s="47" t="s">
        <v>367</v>
      </c>
      <c r="B202" s="48" t="n">
        <v>45956</v>
      </c>
      <c r="C202" s="47" t="s">
        <v>68</v>
      </c>
      <c r="D202" s="47" t="s">
        <v>124</v>
      </c>
      <c r="E202" s="47" t="s">
        <v>125</v>
      </c>
      <c r="F202" s="47" t="s">
        <v>134</v>
      </c>
      <c r="G202" s="47" t="n">
        <v>4</v>
      </c>
      <c r="H202" s="47" t="n">
        <v>3500</v>
      </c>
      <c r="I202" s="49" t="n">
        <v>0</v>
      </c>
    </row>
    <row r="203" customFormat="false" ht="15" hidden="false" customHeight="false" outlineLevel="0" collapsed="false">
      <c r="A203" s="47" t="s">
        <v>368</v>
      </c>
      <c r="B203" s="48" t="n">
        <v>45672</v>
      </c>
      <c r="C203" s="47" t="s">
        <v>65</v>
      </c>
      <c r="D203" s="47" t="s">
        <v>124</v>
      </c>
      <c r="E203" s="47" t="s">
        <v>125</v>
      </c>
      <c r="F203" s="47" t="s">
        <v>126</v>
      </c>
      <c r="G203" s="47" t="n">
        <v>1</v>
      </c>
      <c r="H203" s="47" t="n">
        <v>3500</v>
      </c>
      <c r="I203" s="49" t="n">
        <v>0.2</v>
      </c>
    </row>
    <row r="204" customFormat="false" ht="15" hidden="false" customHeight="false" outlineLevel="0" collapsed="false">
      <c r="A204" s="47" t="s">
        <v>369</v>
      </c>
      <c r="B204" s="48" t="n">
        <v>45994</v>
      </c>
      <c r="C204" s="47" t="s">
        <v>68</v>
      </c>
      <c r="D204" s="47" t="s">
        <v>124</v>
      </c>
      <c r="E204" s="47" t="s">
        <v>146</v>
      </c>
      <c r="F204" s="47" t="s">
        <v>134</v>
      </c>
      <c r="G204" s="47" t="n">
        <v>1</v>
      </c>
      <c r="H204" s="47" t="n">
        <v>14000</v>
      </c>
      <c r="I204" s="49" t="n">
        <v>0</v>
      </c>
    </row>
    <row r="205" customFormat="false" ht="15" hidden="false" customHeight="false" outlineLevel="0" collapsed="false">
      <c r="A205" s="47" t="s">
        <v>370</v>
      </c>
      <c r="B205" s="48" t="n">
        <v>45901</v>
      </c>
      <c r="C205" s="47" t="s">
        <v>66</v>
      </c>
      <c r="D205" s="47" t="s">
        <v>128</v>
      </c>
      <c r="E205" s="47" t="s">
        <v>149</v>
      </c>
      <c r="F205" s="47" t="s">
        <v>134</v>
      </c>
      <c r="G205" s="47" t="n">
        <v>12</v>
      </c>
      <c r="H205" s="47" t="n">
        <v>450</v>
      </c>
      <c r="I205" s="49" t="n">
        <v>0.15</v>
      </c>
    </row>
    <row r="206" customFormat="false" ht="15" hidden="false" customHeight="false" outlineLevel="0" collapsed="false">
      <c r="A206" s="47" t="s">
        <v>371</v>
      </c>
      <c r="B206" s="48" t="n">
        <v>45953</v>
      </c>
      <c r="C206" s="47" t="s">
        <v>65</v>
      </c>
      <c r="D206" s="47" t="s">
        <v>124</v>
      </c>
      <c r="E206" s="47" t="s">
        <v>131</v>
      </c>
      <c r="F206" s="47" t="s">
        <v>126</v>
      </c>
      <c r="G206" s="47" t="n">
        <v>3</v>
      </c>
      <c r="H206" s="47" t="n">
        <v>55000</v>
      </c>
      <c r="I206" s="49" t="n">
        <v>0.1</v>
      </c>
    </row>
    <row r="207" customFormat="false" ht="15" hidden="false" customHeight="false" outlineLevel="0" collapsed="false">
      <c r="A207" s="47" t="s">
        <v>372</v>
      </c>
      <c r="B207" s="48" t="n">
        <v>45686</v>
      </c>
      <c r="C207" s="47" t="s">
        <v>67</v>
      </c>
      <c r="D207" s="47" t="s">
        <v>128</v>
      </c>
      <c r="E207" s="47" t="s">
        <v>129</v>
      </c>
      <c r="F207" s="47" t="s">
        <v>134</v>
      </c>
      <c r="G207" s="47" t="n">
        <v>7</v>
      </c>
      <c r="H207" s="47" t="n">
        <v>120</v>
      </c>
      <c r="I207" s="49" t="n">
        <v>0.05</v>
      </c>
    </row>
    <row r="208" customFormat="false" ht="15" hidden="false" customHeight="false" outlineLevel="0" collapsed="false">
      <c r="A208" s="47" t="s">
        <v>373</v>
      </c>
      <c r="B208" s="48" t="n">
        <v>45699</v>
      </c>
      <c r="C208" s="47" t="s">
        <v>67</v>
      </c>
      <c r="D208" s="47" t="s">
        <v>136</v>
      </c>
      <c r="E208" s="47" t="s">
        <v>184</v>
      </c>
      <c r="F208" s="47" t="s">
        <v>141</v>
      </c>
      <c r="G208" s="47" t="n">
        <v>1</v>
      </c>
      <c r="H208" s="47" t="n">
        <v>1800</v>
      </c>
      <c r="I208" s="49" t="n">
        <v>0</v>
      </c>
    </row>
    <row r="209" customFormat="false" ht="15" hidden="false" customHeight="false" outlineLevel="0" collapsed="false">
      <c r="A209" s="47" t="s">
        <v>374</v>
      </c>
      <c r="B209" s="48" t="n">
        <v>45841</v>
      </c>
      <c r="C209" s="47" t="s">
        <v>66</v>
      </c>
      <c r="D209" s="47" t="s">
        <v>124</v>
      </c>
      <c r="E209" s="47" t="s">
        <v>125</v>
      </c>
      <c r="F209" s="47" t="s">
        <v>141</v>
      </c>
      <c r="G209" s="47" t="n">
        <v>1</v>
      </c>
      <c r="H209" s="47" t="n">
        <v>3500</v>
      </c>
      <c r="I209" s="49" t="n">
        <v>0</v>
      </c>
    </row>
    <row r="210" customFormat="false" ht="15" hidden="false" customHeight="false" outlineLevel="0" collapsed="false">
      <c r="A210" s="47" t="s">
        <v>375</v>
      </c>
      <c r="B210" s="48" t="n">
        <v>45920</v>
      </c>
      <c r="C210" s="47" t="s">
        <v>283</v>
      </c>
      <c r="D210" s="47" t="s">
        <v>128</v>
      </c>
      <c r="E210" s="47" t="s">
        <v>155</v>
      </c>
      <c r="F210" s="47" t="s">
        <v>134</v>
      </c>
      <c r="G210" s="47" t="n">
        <v>9</v>
      </c>
      <c r="H210" s="47" t="n">
        <v>250</v>
      </c>
      <c r="I210" s="49" t="n">
        <v>0</v>
      </c>
    </row>
    <row r="211" customFormat="false" ht="15" hidden="false" customHeight="false" outlineLevel="0" collapsed="false">
      <c r="A211" s="47" t="s">
        <v>376</v>
      </c>
      <c r="B211" s="48" t="n">
        <v>45900</v>
      </c>
      <c r="C211" s="47" t="s">
        <v>68</v>
      </c>
      <c r="D211" s="47" t="s">
        <v>128</v>
      </c>
      <c r="E211" s="47" t="s">
        <v>144</v>
      </c>
      <c r="F211" s="47" t="s">
        <v>126</v>
      </c>
      <c r="G211" s="47" t="n">
        <v>5</v>
      </c>
      <c r="H211" s="47" t="n">
        <v>180</v>
      </c>
      <c r="I211" s="49" t="n">
        <v>0</v>
      </c>
    </row>
    <row r="212" customFormat="false" ht="15" hidden="false" customHeight="false" outlineLevel="0" collapsed="false">
      <c r="A212" s="47" t="s">
        <v>377</v>
      </c>
      <c r="B212" s="48" t="n">
        <v>45990</v>
      </c>
      <c r="C212" s="47" t="s">
        <v>67</v>
      </c>
      <c r="D212" s="47" t="s">
        <v>136</v>
      </c>
      <c r="E212" s="47" t="s">
        <v>184</v>
      </c>
      <c r="F212" s="47" t="s">
        <v>126</v>
      </c>
      <c r="G212" s="47" t="n">
        <v>3</v>
      </c>
      <c r="H212" s="47" t="n">
        <v>1800</v>
      </c>
      <c r="I212" s="49" t="n">
        <v>0</v>
      </c>
    </row>
    <row r="213" customFormat="false" ht="15" hidden="false" customHeight="false" outlineLevel="0" collapsed="false">
      <c r="A213" s="47" t="s">
        <v>378</v>
      </c>
      <c r="B213" s="48" t="n">
        <v>45888</v>
      </c>
      <c r="C213" s="47" t="s">
        <v>68</v>
      </c>
      <c r="D213" s="47" t="s">
        <v>124</v>
      </c>
      <c r="E213" s="47" t="s">
        <v>125</v>
      </c>
      <c r="F213" s="47" t="s">
        <v>141</v>
      </c>
      <c r="G213" s="47" t="n">
        <v>1</v>
      </c>
      <c r="H213" s="47" t="n">
        <v>3500</v>
      </c>
      <c r="I213" s="49" t="n">
        <v>0.15</v>
      </c>
    </row>
    <row r="214" customFormat="false" ht="15" hidden="false" customHeight="false" outlineLevel="0" collapsed="false">
      <c r="A214" s="47" t="s">
        <v>350</v>
      </c>
      <c r="B214" s="47" t="s">
        <v>351</v>
      </c>
      <c r="C214" s="47" t="s">
        <v>66</v>
      </c>
      <c r="D214" s="47" t="s">
        <v>124</v>
      </c>
      <c r="E214" s="47" t="s">
        <v>131</v>
      </c>
      <c r="F214" s="47" t="s">
        <v>141</v>
      </c>
      <c r="G214" s="47" t="n">
        <v>1</v>
      </c>
      <c r="H214" s="47" t="n">
        <v>55000</v>
      </c>
      <c r="I214" s="49" t="n">
        <v>0.05</v>
      </c>
    </row>
    <row r="215" customFormat="false" ht="15" hidden="false" customHeight="false" outlineLevel="0" collapsed="false">
      <c r="A215" s="47" t="s">
        <v>379</v>
      </c>
      <c r="B215" s="48" t="n">
        <v>45695</v>
      </c>
      <c r="C215" s="47" t="s">
        <v>65</v>
      </c>
      <c r="D215" s="47" t="s">
        <v>128</v>
      </c>
      <c r="E215" s="47" t="s">
        <v>144</v>
      </c>
      <c r="F215" s="47" t="s">
        <v>134</v>
      </c>
      <c r="G215" s="47" t="n">
        <v>7</v>
      </c>
      <c r="H215" s="47" t="n">
        <v>180</v>
      </c>
      <c r="I215" s="49" t="n">
        <v>0.15</v>
      </c>
    </row>
    <row r="216" customFormat="false" ht="15" hidden="false" customHeight="false" outlineLevel="0" collapsed="false">
      <c r="A216" s="47" t="s">
        <v>380</v>
      </c>
      <c r="B216" s="48" t="n">
        <v>45918</v>
      </c>
      <c r="C216" s="47" t="s">
        <v>65</v>
      </c>
      <c r="D216" s="47" t="s">
        <v>136</v>
      </c>
      <c r="E216" s="47" t="s">
        <v>137</v>
      </c>
      <c r="F216" s="47" t="s">
        <v>126</v>
      </c>
      <c r="G216" s="47" t="n">
        <v>1</v>
      </c>
      <c r="H216" s="47" t="n">
        <v>12000</v>
      </c>
      <c r="I216" s="49" t="n">
        <v>0</v>
      </c>
    </row>
    <row r="217" customFormat="false" ht="15" hidden="false" customHeight="false" outlineLevel="0" collapsed="false">
      <c r="A217" s="47" t="s">
        <v>381</v>
      </c>
      <c r="B217" s="48" t="n">
        <v>45690</v>
      </c>
      <c r="C217" s="47" t="s">
        <v>65</v>
      </c>
      <c r="D217" s="47" t="s">
        <v>124</v>
      </c>
      <c r="E217" s="47" t="s">
        <v>146</v>
      </c>
      <c r="F217" s="47" t="s">
        <v>134</v>
      </c>
      <c r="G217" s="47" t="n">
        <v>4</v>
      </c>
      <c r="H217" s="47" t="n">
        <v>14000</v>
      </c>
      <c r="I217" s="49" t="n">
        <v>0.15</v>
      </c>
    </row>
    <row r="218" customFormat="false" ht="15" hidden="false" customHeight="false" outlineLevel="0" collapsed="false">
      <c r="A218" s="47" t="s">
        <v>382</v>
      </c>
      <c r="B218" s="48" t="n">
        <v>45978</v>
      </c>
      <c r="C218" s="47" t="s">
        <v>68</v>
      </c>
      <c r="D218" s="47" t="s">
        <v>128</v>
      </c>
      <c r="E218" s="47" t="s">
        <v>144</v>
      </c>
      <c r="F218" s="47" t="s">
        <v>141</v>
      </c>
      <c r="G218" s="47" t="n">
        <v>7</v>
      </c>
      <c r="H218" s="47" t="n">
        <v>180</v>
      </c>
      <c r="I218" s="49" t="n">
        <v>0</v>
      </c>
    </row>
    <row r="219" customFormat="false" ht="15" hidden="false" customHeight="false" outlineLevel="0" collapsed="false">
      <c r="A219" s="47" t="s">
        <v>383</v>
      </c>
      <c r="B219" s="48" t="n">
        <v>45847</v>
      </c>
      <c r="C219" s="47" t="s">
        <v>66</v>
      </c>
      <c r="D219" s="47" t="s">
        <v>124</v>
      </c>
      <c r="E219" s="47" t="s">
        <v>133</v>
      </c>
      <c r="F219" s="47" t="s">
        <v>134</v>
      </c>
      <c r="G219" s="47"/>
      <c r="H219" s="47" t="n">
        <v>22000</v>
      </c>
      <c r="I219" s="49" t="n">
        <v>0</v>
      </c>
    </row>
    <row r="220" customFormat="false" ht="15" hidden="false" customHeight="false" outlineLevel="0" collapsed="false">
      <c r="A220" s="47" t="s">
        <v>384</v>
      </c>
      <c r="B220" s="48" t="n">
        <v>45703</v>
      </c>
      <c r="C220" s="47" t="s">
        <v>67</v>
      </c>
      <c r="D220" s="47" t="s">
        <v>128</v>
      </c>
      <c r="E220" s="47" t="s">
        <v>129</v>
      </c>
      <c r="F220" s="47" t="s">
        <v>134</v>
      </c>
      <c r="G220" s="47" t="n">
        <v>9</v>
      </c>
      <c r="H220" s="47" t="n">
        <v>120</v>
      </c>
      <c r="I220" s="49" t="n">
        <v>0.05</v>
      </c>
    </row>
    <row r="221" customFormat="false" ht="15" hidden="false" customHeight="false" outlineLevel="0" collapsed="false">
      <c r="A221" s="47" t="s">
        <v>385</v>
      </c>
      <c r="B221" s="48" t="n">
        <v>45787</v>
      </c>
      <c r="C221" s="47" t="s">
        <v>65</v>
      </c>
      <c r="D221" s="47" t="s">
        <v>124</v>
      </c>
      <c r="E221" s="47" t="s">
        <v>146</v>
      </c>
      <c r="F221" s="47" t="s">
        <v>134</v>
      </c>
      <c r="G221" s="47" t="n">
        <v>3</v>
      </c>
      <c r="H221" s="47" t="n">
        <v>14000</v>
      </c>
      <c r="I221" s="49" t="n">
        <v>0</v>
      </c>
    </row>
    <row r="222" customFormat="false" ht="15" hidden="false" customHeight="false" outlineLevel="0" collapsed="false">
      <c r="A222" s="47" t="s">
        <v>386</v>
      </c>
      <c r="B222" s="48" t="n">
        <v>45966</v>
      </c>
      <c r="C222" s="47" t="s">
        <v>66</v>
      </c>
      <c r="D222" s="47" t="s">
        <v>124</v>
      </c>
      <c r="E222" s="47" t="s">
        <v>133</v>
      </c>
      <c r="F222" s="47" t="s">
        <v>141</v>
      </c>
      <c r="G222" s="47" t="n">
        <v>2</v>
      </c>
      <c r="H222" s="47" t="n">
        <v>22000</v>
      </c>
      <c r="I222" s="49" t="n">
        <v>0</v>
      </c>
    </row>
    <row r="223" customFormat="false" ht="15" hidden="false" customHeight="false" outlineLevel="0" collapsed="false">
      <c r="A223" s="47" t="s">
        <v>387</v>
      </c>
      <c r="B223" s="48" t="n">
        <v>45910</v>
      </c>
      <c r="C223" s="47" t="s">
        <v>65</v>
      </c>
      <c r="D223" s="47" t="s">
        <v>128</v>
      </c>
      <c r="E223" s="47" t="s">
        <v>149</v>
      </c>
      <c r="F223" s="47" t="s">
        <v>126</v>
      </c>
      <c r="G223" s="47" t="n">
        <v>10</v>
      </c>
      <c r="H223" s="47" t="n">
        <v>450</v>
      </c>
      <c r="I223" s="49" t="n">
        <v>0</v>
      </c>
    </row>
    <row r="224" customFormat="false" ht="15" hidden="false" customHeight="false" outlineLevel="0" collapsed="false">
      <c r="A224" s="47" t="s">
        <v>388</v>
      </c>
      <c r="B224" s="48" t="n">
        <v>45906</v>
      </c>
      <c r="C224" s="47" t="s">
        <v>66</v>
      </c>
      <c r="D224" s="47" t="s">
        <v>136</v>
      </c>
      <c r="E224" s="47" t="s">
        <v>139</v>
      </c>
      <c r="F224" s="47" t="s">
        <v>141</v>
      </c>
      <c r="G224" s="47" t="n">
        <v>6</v>
      </c>
      <c r="H224" s="47" t="n">
        <v>6500</v>
      </c>
      <c r="I224" s="49" t="n">
        <v>0</v>
      </c>
    </row>
    <row r="225" customFormat="false" ht="15" hidden="false" customHeight="false" outlineLevel="0" collapsed="false">
      <c r="A225" s="47" t="s">
        <v>389</v>
      </c>
      <c r="B225" s="48" t="n">
        <v>45993</v>
      </c>
      <c r="C225" s="47" t="s">
        <v>66</v>
      </c>
      <c r="D225" s="47" t="s">
        <v>124</v>
      </c>
      <c r="E225" s="47" t="s">
        <v>133</v>
      </c>
      <c r="F225" s="47" t="s">
        <v>126</v>
      </c>
      <c r="G225" s="47" t="n">
        <v>4</v>
      </c>
      <c r="H225" s="47" t="n">
        <v>22000</v>
      </c>
      <c r="I225" s="49" t="n">
        <v>0.1</v>
      </c>
    </row>
    <row r="226" customFormat="false" ht="15" hidden="false" customHeight="false" outlineLevel="0" collapsed="false">
      <c r="A226" s="47" t="s">
        <v>193</v>
      </c>
      <c r="B226" s="48" t="n">
        <v>45749</v>
      </c>
      <c r="C226" s="47" t="s">
        <v>65</v>
      </c>
      <c r="D226" s="47" t="s">
        <v>136</v>
      </c>
      <c r="E226" s="47" t="s">
        <v>139</v>
      </c>
      <c r="F226" s="47" t="s">
        <v>141</v>
      </c>
      <c r="G226" s="47" t="n">
        <v>5</v>
      </c>
      <c r="H226" s="47" t="n">
        <v>6500</v>
      </c>
      <c r="I226" s="49" t="n">
        <v>0.05</v>
      </c>
    </row>
    <row r="227" customFormat="false" ht="15" hidden="false" customHeight="false" outlineLevel="0" collapsed="false">
      <c r="A227" s="47" t="s">
        <v>390</v>
      </c>
      <c r="B227" s="48" t="n">
        <v>45952</v>
      </c>
      <c r="C227" s="47" t="s">
        <v>68</v>
      </c>
      <c r="D227" s="47" t="s">
        <v>124</v>
      </c>
      <c r="E227" s="47" t="s">
        <v>131</v>
      </c>
      <c r="F227" s="47" t="s">
        <v>134</v>
      </c>
      <c r="G227" s="47" t="n">
        <v>3</v>
      </c>
      <c r="H227" s="47" t="n">
        <v>55000</v>
      </c>
      <c r="I227" s="49" t="n">
        <v>0.2</v>
      </c>
    </row>
    <row r="228" customFormat="false" ht="15" hidden="false" customHeight="false" outlineLevel="0" collapsed="false">
      <c r="A228" s="47" t="s">
        <v>391</v>
      </c>
      <c r="B228" s="48" t="n">
        <v>45887</v>
      </c>
      <c r="C228" s="47" t="s">
        <v>67</v>
      </c>
      <c r="D228" s="47" t="s">
        <v>136</v>
      </c>
      <c r="E228" s="47" t="s">
        <v>160</v>
      </c>
      <c r="F228" s="47" t="s">
        <v>141</v>
      </c>
      <c r="G228" s="47" t="n">
        <v>4</v>
      </c>
      <c r="H228" s="47" t="n">
        <v>8500</v>
      </c>
      <c r="I228" s="49" t="n">
        <v>0.15</v>
      </c>
    </row>
    <row r="229" customFormat="false" ht="15" hidden="false" customHeight="false" outlineLevel="0" collapsed="false">
      <c r="A229" s="47" t="s">
        <v>392</v>
      </c>
      <c r="B229" s="48" t="n">
        <v>45807</v>
      </c>
      <c r="C229" s="47" t="s">
        <v>171</v>
      </c>
      <c r="D229" s="47" t="s">
        <v>128</v>
      </c>
      <c r="E229" s="47" t="s">
        <v>144</v>
      </c>
      <c r="F229" s="47" t="s">
        <v>134</v>
      </c>
      <c r="G229" s="47" t="n">
        <v>13</v>
      </c>
      <c r="H229" s="47" t="n">
        <v>180</v>
      </c>
      <c r="I229" s="49" t="n">
        <v>0.1</v>
      </c>
    </row>
    <row r="230" customFormat="false" ht="15" hidden="false" customHeight="false" outlineLevel="0" collapsed="false">
      <c r="A230" s="47" t="s">
        <v>393</v>
      </c>
      <c r="B230" s="48" t="n">
        <v>45925</v>
      </c>
      <c r="C230" s="47" t="s">
        <v>68</v>
      </c>
      <c r="D230" s="47" t="s">
        <v>128</v>
      </c>
      <c r="E230" s="47" t="s">
        <v>149</v>
      </c>
      <c r="F230" s="47" t="s">
        <v>134</v>
      </c>
      <c r="G230" s="47" t="n">
        <v>14</v>
      </c>
      <c r="H230" s="47" t="n">
        <v>450</v>
      </c>
      <c r="I230" s="49" t="n">
        <v>0.1</v>
      </c>
    </row>
    <row r="231" customFormat="false" ht="15" hidden="false" customHeight="false" outlineLevel="0" collapsed="false">
      <c r="A231" s="47" t="s">
        <v>394</v>
      </c>
      <c r="B231" s="48" t="n">
        <v>45716</v>
      </c>
      <c r="C231" s="47" t="s">
        <v>68</v>
      </c>
      <c r="D231" s="47" t="s">
        <v>136</v>
      </c>
      <c r="E231" s="47" t="s">
        <v>160</v>
      </c>
      <c r="F231" s="47" t="s">
        <v>126</v>
      </c>
      <c r="G231" s="47" t="n">
        <v>2</v>
      </c>
      <c r="H231" s="47" t="n">
        <v>8500</v>
      </c>
      <c r="I231" s="49" t="n">
        <v>0.2</v>
      </c>
    </row>
    <row r="232" customFormat="false" ht="15" hidden="false" customHeight="false" outlineLevel="0" collapsed="false">
      <c r="A232" s="47" t="s">
        <v>395</v>
      </c>
      <c r="B232" s="48" t="n">
        <v>45849</v>
      </c>
      <c r="C232" s="47" t="s">
        <v>66</v>
      </c>
      <c r="D232" s="47" t="s">
        <v>128</v>
      </c>
      <c r="E232" s="47" t="s">
        <v>149</v>
      </c>
      <c r="F232" s="47" t="s">
        <v>141</v>
      </c>
      <c r="G232" s="47" t="s">
        <v>396</v>
      </c>
      <c r="H232" s="47" t="n">
        <v>450</v>
      </c>
      <c r="I232" s="49" t="n">
        <v>0.15</v>
      </c>
    </row>
    <row r="233" customFormat="false" ht="15" hidden="false" customHeight="false" outlineLevel="0" collapsed="false">
      <c r="A233" s="47" t="s">
        <v>397</v>
      </c>
      <c r="B233" s="48" t="n">
        <v>46005</v>
      </c>
      <c r="C233" s="47" t="s">
        <v>68</v>
      </c>
      <c r="D233" s="47" t="s">
        <v>136</v>
      </c>
      <c r="E233" s="47" t="s">
        <v>160</v>
      </c>
      <c r="F233" s="47" t="s">
        <v>141</v>
      </c>
      <c r="G233" s="47" t="n">
        <v>3</v>
      </c>
      <c r="H233" s="47" t="n">
        <v>8500</v>
      </c>
      <c r="I233" s="49" t="n">
        <v>0.2</v>
      </c>
    </row>
    <row r="234" customFormat="false" ht="15" hidden="false" customHeight="false" outlineLevel="0" collapsed="false">
      <c r="A234" s="47" t="s">
        <v>398</v>
      </c>
      <c r="B234" s="48" t="n">
        <v>45699</v>
      </c>
      <c r="C234" s="47" t="s">
        <v>66</v>
      </c>
      <c r="D234" s="47" t="s">
        <v>128</v>
      </c>
      <c r="E234" s="47" t="s">
        <v>149</v>
      </c>
      <c r="F234" s="47" t="s">
        <v>134</v>
      </c>
      <c r="G234" s="47" t="n">
        <v>7</v>
      </c>
      <c r="H234" s="47" t="n">
        <v>450</v>
      </c>
      <c r="I234" s="49" t="n">
        <v>0.05</v>
      </c>
    </row>
    <row r="235" customFormat="false" ht="15" hidden="false" customHeight="false" outlineLevel="0" collapsed="false">
      <c r="A235" s="47" t="s">
        <v>399</v>
      </c>
      <c r="B235" s="47" t="s">
        <v>400</v>
      </c>
      <c r="C235" s="47" t="s">
        <v>65</v>
      </c>
      <c r="D235" s="47" t="s">
        <v>128</v>
      </c>
      <c r="E235" s="47" t="s">
        <v>144</v>
      </c>
      <c r="F235" s="47" t="s">
        <v>134</v>
      </c>
      <c r="G235" s="47" t="n">
        <v>6</v>
      </c>
      <c r="H235" s="47" t="n">
        <v>180</v>
      </c>
      <c r="I235" s="49" t="n">
        <v>0.05</v>
      </c>
    </row>
    <row r="236" customFormat="false" ht="15" hidden="false" customHeight="false" outlineLevel="0" collapsed="false">
      <c r="A236" s="47" t="s">
        <v>401</v>
      </c>
      <c r="B236" s="48" t="n">
        <v>45731</v>
      </c>
      <c r="C236" s="47" t="s">
        <v>67</v>
      </c>
      <c r="D236" s="47" t="s">
        <v>136</v>
      </c>
      <c r="E236" s="47" t="s">
        <v>137</v>
      </c>
      <c r="F236" s="47" t="s">
        <v>134</v>
      </c>
      <c r="G236" s="47" t="n">
        <v>6</v>
      </c>
      <c r="H236" s="47" t="n">
        <v>12000</v>
      </c>
      <c r="I236" s="49" t="n">
        <v>0</v>
      </c>
    </row>
    <row r="237" customFormat="false" ht="15" hidden="false" customHeight="false" outlineLevel="0" collapsed="false">
      <c r="A237" s="47" t="s">
        <v>402</v>
      </c>
      <c r="B237" s="48" t="n">
        <v>45755</v>
      </c>
      <c r="C237" s="47" t="s">
        <v>65</v>
      </c>
      <c r="D237" s="47" t="s">
        <v>136</v>
      </c>
      <c r="E237" s="47" t="s">
        <v>184</v>
      </c>
      <c r="F237" s="47" t="s">
        <v>134</v>
      </c>
      <c r="G237" s="47" t="n">
        <v>3</v>
      </c>
      <c r="H237" s="47" t="n">
        <v>1800</v>
      </c>
      <c r="I237" s="49" t="n">
        <v>0</v>
      </c>
    </row>
    <row r="238" customFormat="false" ht="15" hidden="false" customHeight="false" outlineLevel="0" collapsed="false">
      <c r="A238" s="47" t="s">
        <v>403</v>
      </c>
      <c r="B238" s="48" t="n">
        <v>45878</v>
      </c>
      <c r="C238" s="47" t="s">
        <v>65</v>
      </c>
      <c r="D238" s="47" t="s">
        <v>128</v>
      </c>
      <c r="E238" s="47" t="s">
        <v>149</v>
      </c>
      <c r="F238" s="47" t="s">
        <v>141</v>
      </c>
      <c r="G238" s="47" t="n">
        <v>7</v>
      </c>
      <c r="H238" s="47" t="n">
        <v>450</v>
      </c>
      <c r="I238" s="49" t="n">
        <v>0.05</v>
      </c>
    </row>
    <row r="239" customFormat="false" ht="15" hidden="false" customHeight="false" outlineLevel="0" collapsed="false">
      <c r="A239" s="47" t="s">
        <v>404</v>
      </c>
      <c r="B239" s="48" t="n">
        <v>45837</v>
      </c>
      <c r="C239" s="47" t="s">
        <v>65</v>
      </c>
      <c r="D239" s="47" t="s">
        <v>124</v>
      </c>
      <c r="E239" s="47" t="s">
        <v>125</v>
      </c>
      <c r="F239" s="47" t="s">
        <v>126</v>
      </c>
      <c r="G239" s="47" t="n">
        <v>3</v>
      </c>
      <c r="H239" s="47" t="n">
        <v>3500</v>
      </c>
      <c r="I239" s="49" t="n">
        <v>0</v>
      </c>
    </row>
    <row r="240" customFormat="false" ht="15" hidden="false" customHeight="false" outlineLevel="0" collapsed="false">
      <c r="A240" s="47" t="s">
        <v>405</v>
      </c>
      <c r="B240" s="48" t="n">
        <v>45868</v>
      </c>
      <c r="C240" s="47" t="s">
        <v>66</v>
      </c>
      <c r="D240" s="47" t="s">
        <v>128</v>
      </c>
      <c r="E240" s="47" t="s">
        <v>155</v>
      </c>
      <c r="F240" s="47" t="s">
        <v>134</v>
      </c>
      <c r="G240" s="47" t="n">
        <v>14</v>
      </c>
      <c r="H240" s="47" t="n">
        <v>250</v>
      </c>
      <c r="I240" s="49" t="n">
        <v>0</v>
      </c>
    </row>
    <row r="241" customFormat="false" ht="15" hidden="false" customHeight="false" outlineLevel="0" collapsed="false">
      <c r="A241" s="47" t="s">
        <v>406</v>
      </c>
      <c r="B241" s="48" t="n">
        <v>45988</v>
      </c>
      <c r="C241" s="47" t="s">
        <v>192</v>
      </c>
      <c r="D241" s="47" t="s">
        <v>124</v>
      </c>
      <c r="E241" s="47" t="s">
        <v>125</v>
      </c>
      <c r="F241" s="47" t="s">
        <v>126</v>
      </c>
      <c r="G241" s="47" t="n">
        <v>3</v>
      </c>
      <c r="H241" s="47" t="n">
        <v>3500</v>
      </c>
      <c r="I241" s="49" t="n">
        <v>0</v>
      </c>
    </row>
    <row r="242" customFormat="false" ht="15" hidden="false" customHeight="false" outlineLevel="0" collapsed="false">
      <c r="A242" s="47" t="s">
        <v>407</v>
      </c>
      <c r="B242" s="48" t="n">
        <v>46001</v>
      </c>
      <c r="C242" s="47" t="s">
        <v>68</v>
      </c>
      <c r="D242" s="47" t="s">
        <v>124</v>
      </c>
      <c r="E242" s="47" t="s">
        <v>146</v>
      </c>
      <c r="F242" s="47" t="s">
        <v>141</v>
      </c>
      <c r="G242" s="47" t="n">
        <v>3</v>
      </c>
      <c r="H242" s="47" t="n">
        <v>14000</v>
      </c>
      <c r="I242" s="49" t="n">
        <v>0.2</v>
      </c>
    </row>
    <row r="243" customFormat="false" ht="15" hidden="false" customHeight="false" outlineLevel="0" collapsed="false">
      <c r="A243" s="47" t="s">
        <v>408</v>
      </c>
      <c r="B243" s="48" t="n">
        <v>45932</v>
      </c>
      <c r="C243" s="47" t="s">
        <v>346</v>
      </c>
      <c r="D243" s="47" t="s">
        <v>124</v>
      </c>
      <c r="E243" s="47" t="s">
        <v>146</v>
      </c>
      <c r="F243" s="47" t="s">
        <v>126</v>
      </c>
      <c r="G243" s="47" t="n">
        <v>3</v>
      </c>
      <c r="H243" s="47" t="n">
        <v>14000</v>
      </c>
      <c r="I243" s="49" t="n">
        <v>0.1</v>
      </c>
    </row>
    <row r="244" customFormat="false" ht="15" hidden="false" customHeight="false" outlineLevel="0" collapsed="false">
      <c r="A244" s="47" t="s">
        <v>409</v>
      </c>
      <c r="B244" s="48" t="n">
        <v>45693</v>
      </c>
      <c r="C244" s="47" t="s">
        <v>67</v>
      </c>
      <c r="D244" s="47" t="s">
        <v>128</v>
      </c>
      <c r="E244" s="47" t="s">
        <v>149</v>
      </c>
      <c r="F244" s="47" t="s">
        <v>134</v>
      </c>
      <c r="G244" s="47"/>
      <c r="H244" s="47" t="n">
        <v>450</v>
      </c>
      <c r="I244" s="49" t="n">
        <v>0.05</v>
      </c>
    </row>
    <row r="245" customFormat="false" ht="15" hidden="false" customHeight="false" outlineLevel="0" collapsed="false">
      <c r="A245" s="47" t="s">
        <v>410</v>
      </c>
      <c r="B245" s="48" t="n">
        <v>45800</v>
      </c>
      <c r="C245" s="47" t="s">
        <v>66</v>
      </c>
      <c r="D245" s="47" t="s">
        <v>136</v>
      </c>
      <c r="E245" s="47" t="s">
        <v>139</v>
      </c>
      <c r="F245" s="47" t="s">
        <v>134</v>
      </c>
      <c r="G245" s="47" t="n">
        <v>1</v>
      </c>
      <c r="H245" s="47" t="n">
        <v>6500</v>
      </c>
      <c r="I245" s="49" t="n">
        <v>0.15</v>
      </c>
    </row>
    <row r="246" customFormat="false" ht="15" hidden="false" customHeight="false" outlineLevel="0" collapsed="false">
      <c r="A246" s="47" t="s">
        <v>411</v>
      </c>
      <c r="B246" s="48" t="n">
        <v>45940</v>
      </c>
      <c r="C246" s="47" t="s">
        <v>283</v>
      </c>
      <c r="D246" s="47" t="s">
        <v>136</v>
      </c>
      <c r="E246" s="47" t="s">
        <v>139</v>
      </c>
      <c r="F246" s="47" t="s">
        <v>141</v>
      </c>
      <c r="G246" s="47" t="n">
        <v>4</v>
      </c>
      <c r="H246" s="47" t="n">
        <v>6500</v>
      </c>
      <c r="I246" s="49" t="n">
        <v>0</v>
      </c>
    </row>
    <row r="247" customFormat="false" ht="15" hidden="false" customHeight="false" outlineLevel="0" collapsed="false">
      <c r="A247" s="47" t="s">
        <v>412</v>
      </c>
      <c r="B247" s="48" t="n">
        <v>45967</v>
      </c>
      <c r="C247" s="47" t="s">
        <v>66</v>
      </c>
      <c r="D247" s="47" t="s">
        <v>136</v>
      </c>
      <c r="E247" s="47" t="s">
        <v>137</v>
      </c>
      <c r="F247" s="47" t="s">
        <v>134</v>
      </c>
      <c r="G247" s="47" t="n">
        <v>2</v>
      </c>
      <c r="H247" s="47" t="n">
        <v>12000</v>
      </c>
      <c r="I247" s="49" t="n">
        <v>0</v>
      </c>
    </row>
    <row r="248" customFormat="false" ht="15" hidden="false" customHeight="false" outlineLevel="0" collapsed="false">
      <c r="A248" s="47" t="s">
        <v>413</v>
      </c>
      <c r="B248" s="47" t="s">
        <v>414</v>
      </c>
      <c r="C248" s="47" t="s">
        <v>66</v>
      </c>
      <c r="D248" s="47" t="s">
        <v>136</v>
      </c>
      <c r="E248" s="47" t="s">
        <v>184</v>
      </c>
      <c r="F248" s="47" t="s">
        <v>141</v>
      </c>
      <c r="G248" s="47" t="n">
        <v>4</v>
      </c>
      <c r="H248" s="47" t="n">
        <v>1800</v>
      </c>
      <c r="I248" s="49" t="n">
        <v>0</v>
      </c>
    </row>
    <row r="249" customFormat="false" ht="15" hidden="false" customHeight="false" outlineLevel="0" collapsed="false">
      <c r="A249" s="47" t="s">
        <v>415</v>
      </c>
      <c r="B249" s="48" t="n">
        <v>45684</v>
      </c>
      <c r="C249" s="47" t="s">
        <v>66</v>
      </c>
      <c r="D249" s="47" t="s">
        <v>136</v>
      </c>
      <c r="E249" s="47" t="s">
        <v>137</v>
      </c>
      <c r="F249" s="47" t="s">
        <v>141</v>
      </c>
      <c r="G249" s="47" t="n">
        <v>3</v>
      </c>
      <c r="H249" s="47" t="n">
        <v>12000</v>
      </c>
      <c r="I249" s="49" t="n">
        <v>0.1</v>
      </c>
    </row>
    <row r="250" customFormat="false" ht="15" hidden="false" customHeight="false" outlineLevel="0" collapsed="false">
      <c r="A250" s="47" t="s">
        <v>416</v>
      </c>
      <c r="B250" s="48" t="n">
        <v>45719</v>
      </c>
      <c r="C250" s="47" t="s">
        <v>192</v>
      </c>
      <c r="D250" s="47" t="s">
        <v>124</v>
      </c>
      <c r="E250" s="47" t="s">
        <v>133</v>
      </c>
      <c r="F250" s="47" t="s">
        <v>126</v>
      </c>
      <c r="G250" s="47" t="n">
        <v>3</v>
      </c>
      <c r="H250" s="47" t="n">
        <v>22000</v>
      </c>
      <c r="I250" s="49" t="n">
        <v>0</v>
      </c>
    </row>
    <row r="251" customFormat="false" ht="15" hidden="false" customHeight="false" outlineLevel="0" collapsed="false">
      <c r="A251" s="47" t="s">
        <v>417</v>
      </c>
      <c r="B251" s="48" t="n">
        <v>45667</v>
      </c>
      <c r="C251" s="47" t="s">
        <v>68</v>
      </c>
      <c r="D251" s="47" t="s">
        <v>128</v>
      </c>
      <c r="E251" s="47" t="s">
        <v>129</v>
      </c>
      <c r="F251" s="47" t="s">
        <v>134</v>
      </c>
      <c r="G251" s="47" t="n">
        <v>5</v>
      </c>
      <c r="H251" s="47" t="n">
        <v>120</v>
      </c>
      <c r="I251" s="49" t="n">
        <v>0.1</v>
      </c>
    </row>
    <row r="252" customFormat="false" ht="15" hidden="false" customHeight="false" outlineLevel="0" collapsed="false">
      <c r="A252" s="47" t="s">
        <v>418</v>
      </c>
      <c r="B252" s="48" t="n">
        <v>45779</v>
      </c>
      <c r="C252" s="47" t="s">
        <v>68</v>
      </c>
      <c r="D252" s="47" t="s">
        <v>128</v>
      </c>
      <c r="E252" s="47" t="s">
        <v>144</v>
      </c>
      <c r="F252" s="47" t="s">
        <v>141</v>
      </c>
      <c r="G252" s="47" t="n">
        <v>3</v>
      </c>
      <c r="H252" s="47" t="n">
        <v>180</v>
      </c>
      <c r="I252" s="49" t="n">
        <v>0.05</v>
      </c>
    </row>
    <row r="253" customFormat="false" ht="15" hidden="false" customHeight="false" outlineLevel="0" collapsed="false">
      <c r="A253" s="47" t="s">
        <v>419</v>
      </c>
      <c r="B253" s="48" t="n">
        <v>45965</v>
      </c>
      <c r="C253" s="47" t="s">
        <v>67</v>
      </c>
      <c r="D253" s="47" t="s">
        <v>128</v>
      </c>
      <c r="E253" s="47" t="s">
        <v>129</v>
      </c>
      <c r="F253" s="47" t="s">
        <v>134</v>
      </c>
      <c r="G253" s="47"/>
      <c r="H253" s="47" t="n">
        <v>120</v>
      </c>
      <c r="I253" s="49" t="n">
        <v>0</v>
      </c>
    </row>
    <row r="254" customFormat="false" ht="15" hidden="false" customHeight="false" outlineLevel="0" collapsed="false">
      <c r="A254" s="47" t="s">
        <v>420</v>
      </c>
      <c r="B254" s="48" t="n">
        <v>45793</v>
      </c>
      <c r="C254" s="47" t="s">
        <v>65</v>
      </c>
      <c r="D254" s="47" t="s">
        <v>124</v>
      </c>
      <c r="E254" s="47" t="s">
        <v>133</v>
      </c>
      <c r="F254" s="47" t="s">
        <v>126</v>
      </c>
      <c r="G254" s="47" t="n">
        <v>2</v>
      </c>
      <c r="H254" s="47" t="n">
        <v>22000</v>
      </c>
      <c r="I254" s="49" t="n">
        <v>0</v>
      </c>
    </row>
    <row r="255" customFormat="false" ht="15" hidden="false" customHeight="false" outlineLevel="0" collapsed="false">
      <c r="A255" s="47" t="s">
        <v>421</v>
      </c>
      <c r="B255" s="48" t="n">
        <v>45719</v>
      </c>
      <c r="C255" s="47" t="s">
        <v>66</v>
      </c>
      <c r="D255" s="47" t="s">
        <v>136</v>
      </c>
      <c r="E255" s="47" t="s">
        <v>137</v>
      </c>
      <c r="F255" s="47" t="s">
        <v>141</v>
      </c>
      <c r="G255" s="47" t="n">
        <v>4</v>
      </c>
      <c r="H255" s="47" t="n">
        <v>12000</v>
      </c>
      <c r="I255" s="49" t="n">
        <v>0.15</v>
      </c>
    </row>
    <row r="256" customFormat="false" ht="15" hidden="false" customHeight="false" outlineLevel="0" collapsed="false">
      <c r="A256" s="47" t="s">
        <v>422</v>
      </c>
      <c r="B256" s="48" t="n">
        <v>45721</v>
      </c>
      <c r="C256" s="47" t="s">
        <v>68</v>
      </c>
      <c r="D256" s="47" t="s">
        <v>128</v>
      </c>
      <c r="E256" s="47" t="s">
        <v>155</v>
      </c>
      <c r="F256" s="47" t="s">
        <v>141</v>
      </c>
      <c r="G256" s="47"/>
      <c r="H256" s="47" t="n">
        <v>250</v>
      </c>
      <c r="I256" s="49" t="n">
        <v>0.05</v>
      </c>
    </row>
    <row r="257" customFormat="false" ht="15" hidden="false" customHeight="false" outlineLevel="0" collapsed="false">
      <c r="A257" s="47" t="s">
        <v>234</v>
      </c>
      <c r="B257" s="48" t="n">
        <v>45977</v>
      </c>
      <c r="C257" s="47" t="s">
        <v>68</v>
      </c>
      <c r="D257" s="47" t="s">
        <v>128</v>
      </c>
      <c r="E257" s="47" t="s">
        <v>155</v>
      </c>
      <c r="F257" s="47" t="s">
        <v>141</v>
      </c>
      <c r="G257" s="47" t="n">
        <v>7</v>
      </c>
      <c r="H257" s="47" t="n">
        <v>250</v>
      </c>
      <c r="I257" s="49" t="n">
        <v>0</v>
      </c>
    </row>
    <row r="258" customFormat="false" ht="15" hidden="false" customHeight="false" outlineLevel="0" collapsed="false">
      <c r="A258" s="47" t="s">
        <v>423</v>
      </c>
      <c r="B258" s="48" t="n">
        <v>45980</v>
      </c>
      <c r="C258" s="47" t="s">
        <v>65</v>
      </c>
      <c r="D258" s="47" t="s">
        <v>136</v>
      </c>
      <c r="E258" s="47" t="s">
        <v>160</v>
      </c>
      <c r="F258" s="47" t="s">
        <v>126</v>
      </c>
      <c r="G258" s="47" t="n">
        <v>5</v>
      </c>
      <c r="H258" s="47" t="n">
        <v>8500</v>
      </c>
      <c r="I258" s="49" t="n">
        <v>0</v>
      </c>
    </row>
    <row r="259" customFormat="false" ht="15" hidden="false" customHeight="false" outlineLevel="0" collapsed="false">
      <c r="A259" s="47" t="s">
        <v>424</v>
      </c>
      <c r="B259" s="48" t="n">
        <v>45785</v>
      </c>
      <c r="C259" s="47" t="s">
        <v>65</v>
      </c>
      <c r="D259" s="47" t="s">
        <v>128</v>
      </c>
      <c r="E259" s="47" t="s">
        <v>155</v>
      </c>
      <c r="F259" s="47" t="s">
        <v>141</v>
      </c>
      <c r="G259" s="47" t="s">
        <v>221</v>
      </c>
      <c r="H259" s="47" t="n">
        <v>250</v>
      </c>
      <c r="I259" s="49" t="n">
        <v>0.1</v>
      </c>
    </row>
    <row r="260" customFormat="false" ht="15" hidden="false" customHeight="false" outlineLevel="0" collapsed="false">
      <c r="A260" s="47" t="s">
        <v>425</v>
      </c>
      <c r="B260" s="48" t="n">
        <v>46009</v>
      </c>
      <c r="C260" s="47" t="s">
        <v>68</v>
      </c>
      <c r="D260" s="47" t="s">
        <v>128</v>
      </c>
      <c r="E260" s="47" t="s">
        <v>155</v>
      </c>
      <c r="F260" s="47" t="s">
        <v>126</v>
      </c>
      <c r="G260" s="47" t="n">
        <v>4</v>
      </c>
      <c r="H260" s="47" t="n">
        <v>250</v>
      </c>
      <c r="I260" s="49" t="n">
        <v>0</v>
      </c>
    </row>
    <row r="261" customFormat="false" ht="15" hidden="false" customHeight="false" outlineLevel="0" collapsed="false">
      <c r="A261" s="47" t="s">
        <v>426</v>
      </c>
      <c r="B261" s="48" t="n">
        <v>46010</v>
      </c>
      <c r="C261" s="47" t="s">
        <v>65</v>
      </c>
      <c r="D261" s="47" t="s">
        <v>124</v>
      </c>
      <c r="E261" s="47" t="s">
        <v>146</v>
      </c>
      <c r="F261" s="47" t="s">
        <v>141</v>
      </c>
      <c r="G261" s="47" t="n">
        <v>3</v>
      </c>
      <c r="H261" s="47" t="n">
        <v>14000</v>
      </c>
      <c r="I261" s="49" t="n">
        <v>0.1</v>
      </c>
    </row>
    <row r="262" customFormat="false" ht="15" hidden="false" customHeight="false" outlineLevel="0" collapsed="false">
      <c r="A262" s="47" t="s">
        <v>427</v>
      </c>
      <c r="B262" s="48" t="n">
        <v>46022</v>
      </c>
      <c r="C262" s="47" t="s">
        <v>66</v>
      </c>
      <c r="D262" s="47" t="s">
        <v>124</v>
      </c>
      <c r="E262" s="47" t="s">
        <v>125</v>
      </c>
      <c r="F262" s="47" t="s">
        <v>134</v>
      </c>
      <c r="G262" s="47" t="n">
        <v>2</v>
      </c>
      <c r="H262" s="47" t="n">
        <v>3500</v>
      </c>
      <c r="I262" s="49" t="n">
        <v>0.15</v>
      </c>
    </row>
    <row r="263" customFormat="false" ht="15" hidden="false" customHeight="false" outlineLevel="0" collapsed="false">
      <c r="A263" s="47" t="s">
        <v>428</v>
      </c>
      <c r="B263" s="48" t="n">
        <v>45707</v>
      </c>
      <c r="C263" s="47" t="s">
        <v>65</v>
      </c>
      <c r="D263" s="47" t="s">
        <v>128</v>
      </c>
      <c r="E263" s="47" t="s">
        <v>149</v>
      </c>
      <c r="F263" s="47" t="s">
        <v>134</v>
      </c>
      <c r="G263" s="47" t="n">
        <v>12</v>
      </c>
      <c r="H263" s="47" t="n">
        <v>450</v>
      </c>
      <c r="I263" s="49" t="n">
        <v>0.1</v>
      </c>
    </row>
    <row r="264" customFormat="false" ht="15" hidden="false" customHeight="false" outlineLevel="0" collapsed="false">
      <c r="A264" s="47" t="s">
        <v>429</v>
      </c>
      <c r="B264" s="48" t="n">
        <v>45838</v>
      </c>
      <c r="C264" s="47" t="s">
        <v>68</v>
      </c>
      <c r="D264" s="47" t="s">
        <v>136</v>
      </c>
      <c r="E264" s="47" t="s">
        <v>184</v>
      </c>
      <c r="F264" s="47" t="s">
        <v>134</v>
      </c>
      <c r="G264" s="47" t="n">
        <v>1</v>
      </c>
      <c r="H264" s="47" t="n">
        <v>1800</v>
      </c>
      <c r="I264" s="49" t="n">
        <v>0.2</v>
      </c>
    </row>
    <row r="265" customFormat="false" ht="15" hidden="false" customHeight="false" outlineLevel="0" collapsed="false">
      <c r="A265" s="47" t="s">
        <v>430</v>
      </c>
      <c r="B265" s="48" t="n">
        <v>45677</v>
      </c>
      <c r="C265" s="47" t="s">
        <v>66</v>
      </c>
      <c r="D265" s="47" t="s">
        <v>136</v>
      </c>
      <c r="E265" s="47" t="s">
        <v>160</v>
      </c>
      <c r="F265" s="47" t="s">
        <v>141</v>
      </c>
      <c r="G265" s="47" t="n">
        <v>1</v>
      </c>
      <c r="H265" s="47" t="n">
        <v>8500</v>
      </c>
      <c r="I265" s="49" t="n">
        <v>0.05</v>
      </c>
    </row>
    <row r="266" customFormat="false" ht="15" hidden="false" customHeight="false" outlineLevel="0" collapsed="false">
      <c r="A266" s="47" t="s">
        <v>431</v>
      </c>
      <c r="B266" s="48" t="n">
        <v>45957</v>
      </c>
      <c r="C266" s="47" t="s">
        <v>65</v>
      </c>
      <c r="D266" s="47" t="s">
        <v>124</v>
      </c>
      <c r="E266" s="47" t="s">
        <v>146</v>
      </c>
      <c r="F266" s="47" t="s">
        <v>141</v>
      </c>
      <c r="G266" s="47" t="n">
        <v>4</v>
      </c>
      <c r="H266" s="47" t="n">
        <v>14000</v>
      </c>
      <c r="I266" s="49" t="n">
        <v>0.1</v>
      </c>
    </row>
    <row r="267" customFormat="false" ht="15" hidden="false" customHeight="false" outlineLevel="0" collapsed="false">
      <c r="A267" s="47" t="s">
        <v>432</v>
      </c>
      <c r="B267" s="48" t="n">
        <v>45912</v>
      </c>
      <c r="C267" s="47" t="s">
        <v>67</v>
      </c>
      <c r="D267" s="47" t="s">
        <v>136</v>
      </c>
      <c r="E267" s="47" t="s">
        <v>160</v>
      </c>
      <c r="F267" s="47" t="s">
        <v>126</v>
      </c>
      <c r="G267" s="47" t="n">
        <v>5</v>
      </c>
      <c r="H267" s="47" t="n">
        <v>8500</v>
      </c>
      <c r="I267" s="49"/>
    </row>
    <row r="268" customFormat="false" ht="15" hidden="false" customHeight="false" outlineLevel="0" collapsed="false">
      <c r="A268" s="47" t="s">
        <v>433</v>
      </c>
      <c r="B268" s="48" t="n">
        <v>45732</v>
      </c>
      <c r="C268" s="47" t="s">
        <v>66</v>
      </c>
      <c r="D268" s="47" t="s">
        <v>124</v>
      </c>
      <c r="E268" s="47" t="s">
        <v>131</v>
      </c>
      <c r="F268" s="47" t="s">
        <v>126</v>
      </c>
      <c r="G268" s="47"/>
      <c r="H268" s="47" t="n">
        <v>55000</v>
      </c>
      <c r="I268" s="49" t="n">
        <v>0.05</v>
      </c>
    </row>
    <row r="269" customFormat="false" ht="15" hidden="false" customHeight="false" outlineLevel="0" collapsed="false">
      <c r="A269" s="47" t="s">
        <v>434</v>
      </c>
      <c r="B269" s="48" t="n">
        <v>45955</v>
      </c>
      <c r="C269" s="47" t="s">
        <v>67</v>
      </c>
      <c r="D269" s="47" t="s">
        <v>128</v>
      </c>
      <c r="E269" s="47" t="s">
        <v>155</v>
      </c>
      <c r="F269" s="47" t="s">
        <v>126</v>
      </c>
      <c r="G269" s="47" t="n">
        <v>4</v>
      </c>
      <c r="H269" s="47" t="n">
        <v>250</v>
      </c>
      <c r="I269" s="49" t="n">
        <v>0</v>
      </c>
    </row>
    <row r="270" customFormat="false" ht="15" hidden="false" customHeight="false" outlineLevel="0" collapsed="false">
      <c r="A270" s="47" t="s">
        <v>435</v>
      </c>
      <c r="B270" s="48" t="n">
        <v>45864</v>
      </c>
      <c r="C270" s="47" t="s">
        <v>171</v>
      </c>
      <c r="D270" s="47" t="s">
        <v>124</v>
      </c>
      <c r="E270" s="47" t="s">
        <v>131</v>
      </c>
      <c r="F270" s="47" t="s">
        <v>126</v>
      </c>
      <c r="G270" s="47" t="n">
        <v>1</v>
      </c>
      <c r="H270" s="47" t="n">
        <v>55000</v>
      </c>
      <c r="I270" s="49" t="n">
        <v>0</v>
      </c>
    </row>
    <row r="271" customFormat="false" ht="15" hidden="false" customHeight="false" outlineLevel="0" collapsed="false">
      <c r="A271" s="47" t="s">
        <v>436</v>
      </c>
      <c r="B271" s="48" t="n">
        <v>45765</v>
      </c>
      <c r="C271" s="47" t="s">
        <v>68</v>
      </c>
      <c r="D271" s="47" t="s">
        <v>128</v>
      </c>
      <c r="E271" s="47" t="s">
        <v>155</v>
      </c>
      <c r="F271" s="47" t="s">
        <v>141</v>
      </c>
      <c r="G271" s="47" t="n">
        <v>12</v>
      </c>
      <c r="H271" s="47" t="n">
        <v>250</v>
      </c>
      <c r="I271" s="49"/>
    </row>
    <row r="272" customFormat="false" ht="15" hidden="false" customHeight="false" outlineLevel="0" collapsed="false">
      <c r="A272" s="47" t="s">
        <v>437</v>
      </c>
      <c r="B272" s="48" t="n">
        <v>45853</v>
      </c>
      <c r="C272" s="47" t="s">
        <v>67</v>
      </c>
      <c r="D272" s="47" t="s">
        <v>124</v>
      </c>
      <c r="E272" s="47" t="s">
        <v>125</v>
      </c>
      <c r="F272" s="47" t="s">
        <v>134</v>
      </c>
      <c r="G272" s="47" t="n">
        <v>3</v>
      </c>
      <c r="H272" s="47" t="n">
        <v>3500</v>
      </c>
      <c r="I272" s="49" t="n">
        <v>0.15</v>
      </c>
    </row>
    <row r="273" customFormat="false" ht="15" hidden="false" customHeight="false" outlineLevel="0" collapsed="false">
      <c r="A273" s="47" t="s">
        <v>438</v>
      </c>
      <c r="B273" s="48" t="n">
        <v>45738</v>
      </c>
      <c r="C273" s="47" t="s">
        <v>439</v>
      </c>
      <c r="D273" s="47" t="s">
        <v>124</v>
      </c>
      <c r="E273" s="47" t="s">
        <v>131</v>
      </c>
      <c r="F273" s="47" t="s">
        <v>134</v>
      </c>
      <c r="G273" s="47" t="n">
        <v>1</v>
      </c>
      <c r="H273" s="47" t="n">
        <v>55000</v>
      </c>
      <c r="I273" s="49" t="n">
        <v>0.1</v>
      </c>
    </row>
    <row r="274" customFormat="false" ht="15" hidden="false" customHeight="false" outlineLevel="0" collapsed="false">
      <c r="A274" s="47" t="s">
        <v>440</v>
      </c>
      <c r="B274" s="48" t="n">
        <v>45680</v>
      </c>
      <c r="C274" s="47" t="s">
        <v>68</v>
      </c>
      <c r="D274" s="47" t="s">
        <v>128</v>
      </c>
      <c r="E274" s="47" t="s">
        <v>155</v>
      </c>
      <c r="F274" s="47" t="s">
        <v>141</v>
      </c>
      <c r="G274" s="47" t="n">
        <v>14</v>
      </c>
      <c r="H274" s="47" t="n">
        <v>250</v>
      </c>
      <c r="I274" s="49" t="n">
        <v>0</v>
      </c>
    </row>
    <row r="275" customFormat="false" ht="15" hidden="false" customHeight="false" outlineLevel="0" collapsed="false">
      <c r="A275" s="47" t="s">
        <v>441</v>
      </c>
      <c r="B275" s="48" t="n">
        <v>45786</v>
      </c>
      <c r="C275" s="47" t="s">
        <v>68</v>
      </c>
      <c r="D275" s="47" t="s">
        <v>128</v>
      </c>
      <c r="E275" s="47" t="s">
        <v>144</v>
      </c>
      <c r="F275" s="47" t="s">
        <v>134</v>
      </c>
      <c r="G275" s="47" t="n">
        <v>13</v>
      </c>
      <c r="H275" s="47" t="n">
        <v>180</v>
      </c>
      <c r="I275" s="49" t="n">
        <v>0</v>
      </c>
    </row>
    <row r="276" customFormat="false" ht="15" hidden="false" customHeight="false" outlineLevel="0" collapsed="false">
      <c r="A276" s="47" t="s">
        <v>442</v>
      </c>
      <c r="B276" s="48" t="n">
        <v>45867</v>
      </c>
      <c r="C276" s="47" t="s">
        <v>65</v>
      </c>
      <c r="D276" s="47" t="s">
        <v>128</v>
      </c>
      <c r="E276" s="47" t="s">
        <v>155</v>
      </c>
      <c r="F276" s="47" t="s">
        <v>126</v>
      </c>
      <c r="G276" s="47" t="n">
        <v>12</v>
      </c>
      <c r="H276" s="47" t="n">
        <v>250</v>
      </c>
      <c r="I276" s="49" t="n">
        <v>0</v>
      </c>
    </row>
    <row r="277" customFormat="false" ht="15" hidden="false" customHeight="false" outlineLevel="0" collapsed="false">
      <c r="A277" s="47" t="s">
        <v>443</v>
      </c>
      <c r="B277" s="48" t="n">
        <v>45940</v>
      </c>
      <c r="C277" s="47" t="s">
        <v>66</v>
      </c>
      <c r="D277" s="47" t="s">
        <v>128</v>
      </c>
      <c r="E277" s="47" t="s">
        <v>149</v>
      </c>
      <c r="F277" s="47" t="s">
        <v>134</v>
      </c>
      <c r="G277" s="47" t="n">
        <v>9</v>
      </c>
      <c r="H277" s="47" t="n">
        <v>450</v>
      </c>
      <c r="I277" s="49" t="n">
        <v>0</v>
      </c>
    </row>
    <row r="278" customFormat="false" ht="15" hidden="false" customHeight="false" outlineLevel="0" collapsed="false">
      <c r="A278" s="47" t="s">
        <v>444</v>
      </c>
      <c r="B278" s="48" t="n">
        <v>45996</v>
      </c>
      <c r="C278" s="47" t="s">
        <v>67</v>
      </c>
      <c r="D278" s="47" t="s">
        <v>124</v>
      </c>
      <c r="E278" s="47" t="s">
        <v>131</v>
      </c>
      <c r="F278" s="47" t="s">
        <v>141</v>
      </c>
      <c r="G278" s="47" t="n">
        <v>1</v>
      </c>
      <c r="H278" s="47" t="n">
        <v>55000</v>
      </c>
      <c r="I278" s="49" t="n">
        <v>0</v>
      </c>
    </row>
    <row r="279" customFormat="false" ht="15" hidden="false" customHeight="false" outlineLevel="0" collapsed="false">
      <c r="A279" s="47" t="s">
        <v>445</v>
      </c>
      <c r="B279" s="48" t="n">
        <v>45716</v>
      </c>
      <c r="C279" s="47" t="s">
        <v>66</v>
      </c>
      <c r="D279" s="47" t="s">
        <v>136</v>
      </c>
      <c r="E279" s="47" t="s">
        <v>137</v>
      </c>
      <c r="F279" s="47" t="s">
        <v>141</v>
      </c>
      <c r="G279" s="47" t="n">
        <v>4</v>
      </c>
      <c r="H279" s="47" t="n">
        <v>12000</v>
      </c>
      <c r="I279" s="49" t="n">
        <v>0</v>
      </c>
    </row>
    <row r="280" customFormat="false" ht="15" hidden="false" customHeight="false" outlineLevel="0" collapsed="false">
      <c r="A280" s="47" t="s">
        <v>446</v>
      </c>
      <c r="B280" s="48" t="n">
        <v>45730</v>
      </c>
      <c r="C280" s="47" t="s">
        <v>65</v>
      </c>
      <c r="D280" s="47" t="s">
        <v>136</v>
      </c>
      <c r="E280" s="47" t="s">
        <v>184</v>
      </c>
      <c r="F280" s="47" t="s">
        <v>126</v>
      </c>
      <c r="G280" s="47" t="n">
        <v>1</v>
      </c>
      <c r="H280" s="47" t="n">
        <v>1800</v>
      </c>
      <c r="I280" s="49" t="n">
        <v>0.2</v>
      </c>
    </row>
    <row r="281" customFormat="false" ht="15" hidden="false" customHeight="false" outlineLevel="0" collapsed="false">
      <c r="A281" s="47" t="s">
        <v>447</v>
      </c>
      <c r="B281" s="48" t="n">
        <v>45739</v>
      </c>
      <c r="C281" s="47" t="s">
        <v>67</v>
      </c>
      <c r="D281" s="47" t="s">
        <v>128</v>
      </c>
      <c r="E281" s="47" t="s">
        <v>149</v>
      </c>
      <c r="F281" s="47" t="s">
        <v>141</v>
      </c>
      <c r="G281" s="47" t="n">
        <v>13</v>
      </c>
      <c r="H281" s="47" t="n">
        <v>450</v>
      </c>
      <c r="I281" s="49" t="n">
        <v>0</v>
      </c>
    </row>
    <row r="282" customFormat="false" ht="15" hidden="false" customHeight="false" outlineLevel="0" collapsed="false">
      <c r="A282" s="47" t="s">
        <v>448</v>
      </c>
      <c r="B282" s="48" t="n">
        <v>46015</v>
      </c>
      <c r="C282" s="47" t="s">
        <v>68</v>
      </c>
      <c r="D282" s="47" t="s">
        <v>136</v>
      </c>
      <c r="E282" s="47" t="s">
        <v>160</v>
      </c>
      <c r="F282" s="47" t="s">
        <v>134</v>
      </c>
      <c r="G282" s="47" t="n">
        <v>2</v>
      </c>
      <c r="H282" s="47" t="n">
        <v>8500</v>
      </c>
      <c r="I282" s="49" t="n">
        <v>0.05</v>
      </c>
    </row>
    <row r="283" customFormat="false" ht="15" hidden="false" customHeight="false" outlineLevel="0" collapsed="false">
      <c r="A283" s="47" t="s">
        <v>449</v>
      </c>
      <c r="B283" s="48" t="n">
        <v>45867</v>
      </c>
      <c r="C283" s="47" t="s">
        <v>67</v>
      </c>
      <c r="D283" s="47" t="s">
        <v>128</v>
      </c>
      <c r="E283" s="47" t="s">
        <v>144</v>
      </c>
      <c r="F283" s="47" t="s">
        <v>134</v>
      </c>
      <c r="G283" s="47" t="n">
        <v>7</v>
      </c>
      <c r="H283" s="47" t="n">
        <v>180</v>
      </c>
      <c r="I283" s="49" t="n">
        <v>0.2</v>
      </c>
    </row>
    <row r="284" customFormat="false" ht="15" hidden="false" customHeight="false" outlineLevel="0" collapsed="false">
      <c r="A284" s="47" t="s">
        <v>450</v>
      </c>
      <c r="B284" s="48" t="n">
        <v>45846</v>
      </c>
      <c r="C284" s="47" t="s">
        <v>67</v>
      </c>
      <c r="D284" s="47" t="s">
        <v>124</v>
      </c>
      <c r="E284" s="47" t="s">
        <v>131</v>
      </c>
      <c r="F284" s="47" t="s">
        <v>141</v>
      </c>
      <c r="G284" s="47" t="n">
        <v>4</v>
      </c>
      <c r="H284" s="47" t="n">
        <v>55000</v>
      </c>
      <c r="I284" s="49" t="n">
        <v>0.1</v>
      </c>
    </row>
    <row r="285" customFormat="false" ht="15" hidden="false" customHeight="false" outlineLevel="0" collapsed="false">
      <c r="A285" s="47" t="s">
        <v>451</v>
      </c>
      <c r="B285" s="48" t="n">
        <v>45871</v>
      </c>
      <c r="C285" s="47" t="s">
        <v>204</v>
      </c>
      <c r="D285" s="47" t="s">
        <v>128</v>
      </c>
      <c r="E285" s="47" t="s">
        <v>149</v>
      </c>
      <c r="F285" s="47" t="s">
        <v>141</v>
      </c>
      <c r="G285" s="47" t="n">
        <v>11</v>
      </c>
      <c r="H285" s="47" t="n">
        <v>450</v>
      </c>
      <c r="I285" s="49" t="n">
        <v>0.2</v>
      </c>
    </row>
    <row r="286" customFormat="false" ht="15" hidden="false" customHeight="false" outlineLevel="0" collapsed="false">
      <c r="A286" s="47" t="s">
        <v>452</v>
      </c>
      <c r="B286" s="48" t="n">
        <v>45901</v>
      </c>
      <c r="C286" s="47" t="s">
        <v>65</v>
      </c>
      <c r="D286" s="47" t="s">
        <v>124</v>
      </c>
      <c r="E286" s="47" t="s">
        <v>131</v>
      </c>
      <c r="F286" s="47" t="s">
        <v>134</v>
      </c>
      <c r="G286" s="47" t="n">
        <v>2</v>
      </c>
      <c r="H286" s="47" t="n">
        <v>55000</v>
      </c>
      <c r="I286" s="49" t="n">
        <v>0.1</v>
      </c>
    </row>
    <row r="287" customFormat="false" ht="15" hidden="false" customHeight="false" outlineLevel="0" collapsed="false">
      <c r="A287" s="47" t="s">
        <v>453</v>
      </c>
      <c r="B287" s="48" t="n">
        <v>45930</v>
      </c>
      <c r="C287" s="47" t="s">
        <v>68</v>
      </c>
      <c r="D287" s="47" t="s">
        <v>128</v>
      </c>
      <c r="E287" s="47" t="s">
        <v>129</v>
      </c>
      <c r="F287" s="47" t="s">
        <v>141</v>
      </c>
      <c r="G287" s="47" t="n">
        <v>7</v>
      </c>
      <c r="H287" s="47" t="n">
        <v>120</v>
      </c>
      <c r="I287" s="49" t="n">
        <v>0.05</v>
      </c>
    </row>
    <row r="288" customFormat="false" ht="15" hidden="false" customHeight="false" outlineLevel="0" collapsed="false">
      <c r="A288" s="47" t="s">
        <v>454</v>
      </c>
      <c r="B288" s="48" t="n">
        <v>45786</v>
      </c>
      <c r="C288" s="47" t="s">
        <v>65</v>
      </c>
      <c r="D288" s="47" t="s">
        <v>124</v>
      </c>
      <c r="E288" s="47" t="s">
        <v>125</v>
      </c>
      <c r="F288" s="47" t="s">
        <v>126</v>
      </c>
      <c r="G288" s="47" t="n">
        <v>4</v>
      </c>
      <c r="H288" s="47" t="n">
        <v>3500</v>
      </c>
      <c r="I288" s="49" t="n">
        <v>0.2</v>
      </c>
    </row>
    <row r="289" customFormat="false" ht="15" hidden="false" customHeight="false" outlineLevel="0" collapsed="false">
      <c r="A289" s="47" t="s">
        <v>455</v>
      </c>
      <c r="B289" s="48" t="n">
        <v>45861</v>
      </c>
      <c r="C289" s="47" t="s">
        <v>65</v>
      </c>
      <c r="D289" s="47" t="s">
        <v>124</v>
      </c>
      <c r="E289" s="47" t="s">
        <v>125</v>
      </c>
      <c r="F289" s="47" t="s">
        <v>134</v>
      </c>
      <c r="G289" s="47" t="n">
        <v>1</v>
      </c>
      <c r="H289" s="47" t="n">
        <v>3500</v>
      </c>
      <c r="I289" s="49" t="n">
        <v>0</v>
      </c>
    </row>
    <row r="290" customFormat="false" ht="15" hidden="false" customHeight="false" outlineLevel="0" collapsed="false">
      <c r="A290" s="47" t="s">
        <v>456</v>
      </c>
      <c r="B290" s="48" t="n">
        <v>45783</v>
      </c>
      <c r="C290" s="47" t="s">
        <v>67</v>
      </c>
      <c r="D290" s="47" t="s">
        <v>124</v>
      </c>
      <c r="E290" s="47" t="s">
        <v>125</v>
      </c>
      <c r="F290" s="47" t="s">
        <v>134</v>
      </c>
      <c r="G290" s="47" t="n">
        <v>1</v>
      </c>
      <c r="H290" s="47" t="n">
        <v>3500</v>
      </c>
      <c r="I290" s="49" t="n">
        <v>0</v>
      </c>
    </row>
    <row r="291" customFormat="false" ht="15" hidden="false" customHeight="false" outlineLevel="0" collapsed="false">
      <c r="A291" s="47" t="s">
        <v>457</v>
      </c>
      <c r="B291" s="48" t="n">
        <v>45771</v>
      </c>
      <c r="C291" s="47" t="s">
        <v>65</v>
      </c>
      <c r="D291" s="47" t="s">
        <v>128</v>
      </c>
      <c r="E291" s="47" t="s">
        <v>155</v>
      </c>
      <c r="F291" s="47" t="s">
        <v>141</v>
      </c>
      <c r="G291" s="47" t="s">
        <v>458</v>
      </c>
      <c r="H291" s="47" t="n">
        <v>250</v>
      </c>
      <c r="I291" s="49" t="n">
        <v>0.1</v>
      </c>
    </row>
    <row r="292" customFormat="false" ht="15" hidden="false" customHeight="false" outlineLevel="0" collapsed="false">
      <c r="A292" s="47" t="s">
        <v>459</v>
      </c>
      <c r="B292" s="48" t="n">
        <v>45923</v>
      </c>
      <c r="C292" s="47" t="s">
        <v>68</v>
      </c>
      <c r="D292" s="47" t="s">
        <v>124</v>
      </c>
      <c r="E292" s="47" t="s">
        <v>133</v>
      </c>
      <c r="F292" s="47" t="s">
        <v>141</v>
      </c>
      <c r="G292" s="47" t="n">
        <v>4</v>
      </c>
      <c r="H292" s="47" t="n">
        <v>22000</v>
      </c>
      <c r="I292" s="49" t="n">
        <v>0</v>
      </c>
    </row>
    <row r="293" customFormat="false" ht="15" hidden="false" customHeight="false" outlineLevel="0" collapsed="false">
      <c r="A293" s="47" t="s">
        <v>460</v>
      </c>
      <c r="B293" s="48" t="n">
        <v>45901</v>
      </c>
      <c r="C293" s="47" t="s">
        <v>66</v>
      </c>
      <c r="D293" s="47" t="s">
        <v>128</v>
      </c>
      <c r="E293" s="47" t="s">
        <v>155</v>
      </c>
      <c r="F293" s="47" t="s">
        <v>126</v>
      </c>
      <c r="G293" s="47" t="n">
        <v>11</v>
      </c>
      <c r="H293" s="47" t="n">
        <v>250</v>
      </c>
      <c r="I293" s="49" t="n">
        <v>0.1</v>
      </c>
    </row>
    <row r="294" customFormat="false" ht="15" hidden="false" customHeight="false" outlineLevel="0" collapsed="false">
      <c r="A294" s="47" t="s">
        <v>461</v>
      </c>
      <c r="B294" s="48" t="n">
        <v>45716</v>
      </c>
      <c r="C294" s="47" t="s">
        <v>68</v>
      </c>
      <c r="D294" s="47" t="s">
        <v>128</v>
      </c>
      <c r="E294" s="47" t="s">
        <v>144</v>
      </c>
      <c r="F294" s="47" t="s">
        <v>126</v>
      </c>
      <c r="G294" s="47" t="n">
        <v>6</v>
      </c>
      <c r="H294" s="47" t="n">
        <v>180</v>
      </c>
      <c r="I294" s="49" t="n">
        <v>0.05</v>
      </c>
    </row>
    <row r="295" customFormat="false" ht="15" hidden="false" customHeight="false" outlineLevel="0" collapsed="false">
      <c r="A295" s="47" t="s">
        <v>462</v>
      </c>
      <c r="B295" s="48" t="n">
        <v>45673</v>
      </c>
      <c r="C295" s="47" t="s">
        <v>66</v>
      </c>
      <c r="D295" s="47" t="s">
        <v>128</v>
      </c>
      <c r="E295" s="47" t="s">
        <v>129</v>
      </c>
      <c r="F295" s="47" t="s">
        <v>126</v>
      </c>
      <c r="G295" s="47" t="n">
        <v>14</v>
      </c>
      <c r="H295" s="47" t="n">
        <v>120</v>
      </c>
      <c r="I295" s="49" t="n">
        <v>0</v>
      </c>
    </row>
    <row r="296" customFormat="false" ht="15" hidden="false" customHeight="false" outlineLevel="0" collapsed="false">
      <c r="A296" s="47" t="s">
        <v>399</v>
      </c>
      <c r="B296" s="47" t="s">
        <v>400</v>
      </c>
      <c r="C296" s="47" t="s">
        <v>65</v>
      </c>
      <c r="D296" s="47" t="s">
        <v>128</v>
      </c>
      <c r="E296" s="47" t="s">
        <v>144</v>
      </c>
      <c r="F296" s="47" t="s">
        <v>134</v>
      </c>
      <c r="G296" s="47" t="n">
        <v>6</v>
      </c>
      <c r="H296" s="47" t="n">
        <v>180</v>
      </c>
      <c r="I296" s="49" t="n">
        <v>0.05</v>
      </c>
    </row>
    <row r="297" customFormat="false" ht="15" hidden="false" customHeight="false" outlineLevel="0" collapsed="false">
      <c r="A297" s="47" t="s">
        <v>308</v>
      </c>
      <c r="B297" s="47" t="s">
        <v>309</v>
      </c>
      <c r="C297" s="47" t="s">
        <v>65</v>
      </c>
      <c r="D297" s="47" t="s">
        <v>136</v>
      </c>
      <c r="E297" s="47" t="s">
        <v>139</v>
      </c>
      <c r="F297" s="47" t="s">
        <v>126</v>
      </c>
      <c r="G297" s="47" t="n">
        <v>5</v>
      </c>
      <c r="H297" s="47" t="n">
        <v>6500</v>
      </c>
      <c r="I297" s="49" t="n">
        <v>0</v>
      </c>
    </row>
    <row r="298" customFormat="false" ht="15" hidden="false" customHeight="false" outlineLevel="0" collapsed="false">
      <c r="A298" s="47" t="s">
        <v>463</v>
      </c>
      <c r="B298" s="48" t="n">
        <v>45912</v>
      </c>
      <c r="C298" s="47" t="s">
        <v>66</v>
      </c>
      <c r="D298" s="47" t="s">
        <v>124</v>
      </c>
      <c r="E298" s="47" t="s">
        <v>146</v>
      </c>
      <c r="F298" s="47" t="s">
        <v>126</v>
      </c>
      <c r="G298" s="47" t="n">
        <v>2</v>
      </c>
      <c r="H298" s="47" t="n">
        <v>14000</v>
      </c>
      <c r="I298" s="49" t="n">
        <v>0.1</v>
      </c>
    </row>
    <row r="299" customFormat="false" ht="15" hidden="false" customHeight="false" outlineLevel="0" collapsed="false">
      <c r="A299" s="47" t="s">
        <v>464</v>
      </c>
      <c r="B299" s="48" t="n">
        <v>46011</v>
      </c>
      <c r="C299" s="47" t="s">
        <v>67</v>
      </c>
      <c r="D299" s="47" t="s">
        <v>128</v>
      </c>
      <c r="E299" s="47" t="s">
        <v>155</v>
      </c>
      <c r="F299" s="47" t="s">
        <v>126</v>
      </c>
      <c r="G299" s="47" t="n">
        <v>2</v>
      </c>
      <c r="H299" s="47" t="n">
        <v>250</v>
      </c>
      <c r="I299" s="49" t="n">
        <v>0.1</v>
      </c>
    </row>
    <row r="300" customFormat="false" ht="15" hidden="false" customHeight="false" outlineLevel="0" collapsed="false">
      <c r="A300" s="47" t="s">
        <v>465</v>
      </c>
      <c r="B300" s="48" t="n">
        <v>45756</v>
      </c>
      <c r="C300" s="47" t="s">
        <v>65</v>
      </c>
      <c r="D300" s="47" t="s">
        <v>128</v>
      </c>
      <c r="E300" s="47" t="s">
        <v>155</v>
      </c>
      <c r="F300" s="47" t="s">
        <v>126</v>
      </c>
      <c r="G300" s="47" t="n">
        <v>11</v>
      </c>
      <c r="H300" s="47" t="n">
        <v>250</v>
      </c>
      <c r="I300" s="49" t="n">
        <v>0.2</v>
      </c>
    </row>
    <row r="301" customFormat="false" ht="15" hidden="false" customHeight="false" outlineLevel="0" collapsed="false">
      <c r="A301" s="47" t="s">
        <v>123</v>
      </c>
      <c r="B301" s="48" t="n">
        <v>45873</v>
      </c>
      <c r="C301" s="47" t="s">
        <v>68</v>
      </c>
      <c r="D301" s="47" t="s">
        <v>124</v>
      </c>
      <c r="E301" s="47" t="s">
        <v>125</v>
      </c>
      <c r="F301" s="47" t="s">
        <v>126</v>
      </c>
      <c r="G301" s="47" t="n">
        <v>1</v>
      </c>
      <c r="H301" s="47" t="n">
        <v>3500</v>
      </c>
      <c r="I301" s="49" t="n">
        <v>0.1</v>
      </c>
    </row>
    <row r="302" customFormat="false" ht="15" hidden="false" customHeight="false" outlineLevel="0" collapsed="false">
      <c r="A302" s="47" t="s">
        <v>466</v>
      </c>
      <c r="B302" s="48" t="n">
        <v>45978</v>
      </c>
      <c r="C302" s="47" t="s">
        <v>68</v>
      </c>
      <c r="D302" s="47" t="s">
        <v>124</v>
      </c>
      <c r="E302" s="47" t="s">
        <v>125</v>
      </c>
      <c r="F302" s="47" t="s">
        <v>126</v>
      </c>
      <c r="G302" s="47" t="n">
        <v>4</v>
      </c>
      <c r="H302" s="47" t="n">
        <v>3500</v>
      </c>
      <c r="I302" s="49" t="n">
        <v>0</v>
      </c>
    </row>
    <row r="303" customFormat="false" ht="15" hidden="false" customHeight="false" outlineLevel="0" collapsed="false">
      <c r="A303" s="47" t="s">
        <v>467</v>
      </c>
      <c r="B303" s="48" t="n">
        <v>45710</v>
      </c>
      <c r="C303" s="47" t="s">
        <v>65</v>
      </c>
      <c r="D303" s="47" t="s">
        <v>128</v>
      </c>
      <c r="E303" s="47" t="s">
        <v>155</v>
      </c>
      <c r="F303" s="47" t="s">
        <v>134</v>
      </c>
      <c r="G303" s="47" t="n">
        <v>10</v>
      </c>
      <c r="H303" s="47" t="n">
        <v>250</v>
      </c>
      <c r="I303" s="49" t="n">
        <v>0</v>
      </c>
    </row>
    <row r="304" customFormat="false" ht="15" hidden="false" customHeight="false" outlineLevel="0" collapsed="false">
      <c r="A304" s="47" t="s">
        <v>468</v>
      </c>
      <c r="B304" s="48" t="n">
        <v>45770</v>
      </c>
      <c r="C304" s="47" t="s">
        <v>67</v>
      </c>
      <c r="D304" s="47" t="s">
        <v>128</v>
      </c>
      <c r="E304" s="47" t="s">
        <v>149</v>
      </c>
      <c r="F304" s="47" t="s">
        <v>134</v>
      </c>
      <c r="G304" s="47" t="n">
        <v>9</v>
      </c>
      <c r="H304" s="47" t="n">
        <v>450</v>
      </c>
      <c r="I304" s="49" t="n">
        <v>0.1</v>
      </c>
    </row>
    <row r="305" customFormat="false" ht="15" hidden="false" customHeight="false" outlineLevel="0" collapsed="false">
      <c r="A305" s="47" t="s">
        <v>469</v>
      </c>
      <c r="B305" s="48" t="n">
        <v>45717</v>
      </c>
      <c r="C305" s="47" t="s">
        <v>65</v>
      </c>
      <c r="D305" s="47" t="s">
        <v>128</v>
      </c>
      <c r="E305" s="47" t="s">
        <v>155</v>
      </c>
      <c r="F305" s="47" t="s">
        <v>126</v>
      </c>
      <c r="G305" s="47" t="n">
        <v>9</v>
      </c>
      <c r="H305" s="47" t="n">
        <v>250</v>
      </c>
      <c r="I305" s="49" t="n">
        <v>0.15</v>
      </c>
    </row>
    <row r="306" customFormat="false" ht="15" hidden="false" customHeight="false" outlineLevel="0" collapsed="false">
      <c r="A306" s="47" t="s">
        <v>470</v>
      </c>
      <c r="B306" s="48" t="n">
        <v>45814</v>
      </c>
      <c r="C306" s="47"/>
      <c r="D306" s="47" t="s">
        <v>128</v>
      </c>
      <c r="E306" s="47" t="s">
        <v>144</v>
      </c>
      <c r="F306" s="47" t="s">
        <v>126</v>
      </c>
      <c r="G306" s="47" t="n">
        <v>7</v>
      </c>
      <c r="H306" s="47" t="n">
        <v>180</v>
      </c>
      <c r="I306" s="49" t="n">
        <v>0</v>
      </c>
    </row>
    <row r="307" customFormat="false" ht="15" hidden="false" customHeight="false" outlineLevel="0" collapsed="false">
      <c r="A307" s="47" t="s">
        <v>471</v>
      </c>
      <c r="B307" s="48" t="n">
        <v>45783</v>
      </c>
      <c r="C307" s="47" t="s">
        <v>162</v>
      </c>
      <c r="D307" s="47" t="s">
        <v>128</v>
      </c>
      <c r="E307" s="47" t="s">
        <v>155</v>
      </c>
      <c r="F307" s="47" t="s">
        <v>134</v>
      </c>
      <c r="G307" s="47" t="n">
        <v>7</v>
      </c>
      <c r="H307" s="47" t="n">
        <v>250</v>
      </c>
      <c r="I307" s="49" t="n">
        <v>0.1</v>
      </c>
    </row>
    <row r="308" customFormat="false" ht="15" hidden="false" customHeight="false" outlineLevel="0" collapsed="false">
      <c r="A308" s="47" t="s">
        <v>472</v>
      </c>
      <c r="B308" s="48" t="n">
        <v>45734</v>
      </c>
      <c r="C308" s="47" t="s">
        <v>68</v>
      </c>
      <c r="D308" s="47" t="s">
        <v>128</v>
      </c>
      <c r="E308" s="47" t="s">
        <v>144</v>
      </c>
      <c r="F308" s="47" t="s">
        <v>141</v>
      </c>
      <c r="G308" s="47" t="n">
        <v>15</v>
      </c>
      <c r="H308" s="47" t="n">
        <v>180</v>
      </c>
      <c r="I308" s="49" t="n">
        <v>0.1</v>
      </c>
    </row>
    <row r="309" customFormat="false" ht="15" hidden="false" customHeight="false" outlineLevel="0" collapsed="false">
      <c r="A309" s="47" t="s">
        <v>473</v>
      </c>
      <c r="B309" s="48" t="n">
        <v>45729</v>
      </c>
      <c r="C309" s="47" t="s">
        <v>68</v>
      </c>
      <c r="D309" s="47" t="s">
        <v>128</v>
      </c>
      <c r="E309" s="47" t="s">
        <v>144</v>
      </c>
      <c r="F309" s="47" t="s">
        <v>134</v>
      </c>
      <c r="G309" s="47" t="n">
        <v>13</v>
      </c>
      <c r="H309" s="47" t="n">
        <v>180</v>
      </c>
      <c r="I309" s="49"/>
    </row>
    <row r="310" customFormat="false" ht="15" hidden="false" customHeight="false" outlineLevel="0" collapsed="false">
      <c r="A310" s="47" t="s">
        <v>474</v>
      </c>
      <c r="B310" s="48" t="n">
        <v>46001</v>
      </c>
      <c r="C310" s="47" t="s">
        <v>68</v>
      </c>
      <c r="D310" s="47" t="s">
        <v>128</v>
      </c>
      <c r="E310" s="47" t="s">
        <v>129</v>
      </c>
      <c r="F310" s="47" t="s">
        <v>134</v>
      </c>
      <c r="G310" s="47" t="n">
        <v>3</v>
      </c>
      <c r="H310" s="47" t="n">
        <v>120</v>
      </c>
      <c r="I310" s="49" t="n">
        <v>0.15</v>
      </c>
    </row>
    <row r="311" customFormat="false" ht="15" hidden="false" customHeight="false" outlineLevel="0" collapsed="false">
      <c r="A311" s="47" t="s">
        <v>475</v>
      </c>
      <c r="B311" s="48" t="n">
        <v>45884</v>
      </c>
      <c r="C311" s="47" t="s">
        <v>66</v>
      </c>
      <c r="D311" s="47" t="s">
        <v>128</v>
      </c>
      <c r="E311" s="47" t="s">
        <v>144</v>
      </c>
      <c r="F311" s="47" t="s">
        <v>141</v>
      </c>
      <c r="G311" s="47" t="n">
        <v>9</v>
      </c>
      <c r="H311" s="47" t="n">
        <v>180</v>
      </c>
      <c r="I311" s="49" t="n">
        <v>0.1</v>
      </c>
    </row>
    <row r="312" customFormat="false" ht="15" hidden="false" customHeight="false" outlineLevel="0" collapsed="false">
      <c r="A312" s="47" t="s">
        <v>476</v>
      </c>
      <c r="B312" s="48" t="n">
        <v>45993</v>
      </c>
      <c r="C312" s="47" t="s">
        <v>67</v>
      </c>
      <c r="D312" s="47" t="s">
        <v>128</v>
      </c>
      <c r="E312" s="47" t="s">
        <v>129</v>
      </c>
      <c r="F312" s="47" t="s">
        <v>134</v>
      </c>
      <c r="G312" s="47" t="n">
        <v>15</v>
      </c>
      <c r="H312" s="47" t="n">
        <v>120</v>
      </c>
      <c r="I312" s="49" t="n">
        <v>0</v>
      </c>
    </row>
    <row r="313" customFormat="false" ht="15" hidden="false" customHeight="false" outlineLevel="0" collapsed="false">
      <c r="A313" s="47" t="s">
        <v>477</v>
      </c>
      <c r="B313" s="48" t="n">
        <v>45779</v>
      </c>
      <c r="C313" s="47" t="s">
        <v>68</v>
      </c>
      <c r="D313" s="47" t="s">
        <v>124</v>
      </c>
      <c r="E313" s="47" t="s">
        <v>133</v>
      </c>
      <c r="F313" s="47" t="s">
        <v>126</v>
      </c>
      <c r="G313" s="47" t="n">
        <v>2</v>
      </c>
      <c r="H313" s="47" t="n">
        <v>22000</v>
      </c>
      <c r="I313" s="49" t="n">
        <v>0.05</v>
      </c>
    </row>
  </sheetData>
  <autoFilter ref="A1:I3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Q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6" min="16" style="0" width="36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50" t="s">
        <v>117</v>
      </c>
      <c r="B1" s="50" t="s">
        <v>118</v>
      </c>
      <c r="C1" s="50" t="s">
        <v>64</v>
      </c>
      <c r="D1" s="50" t="s">
        <v>62</v>
      </c>
      <c r="E1" s="50" t="s">
        <v>61</v>
      </c>
      <c r="F1" s="50" t="s">
        <v>119</v>
      </c>
      <c r="G1" s="50" t="s">
        <v>120</v>
      </c>
      <c r="H1" s="50" t="s">
        <v>121</v>
      </c>
      <c r="I1" s="50" t="s">
        <v>122</v>
      </c>
      <c r="J1" s="50" t="s">
        <v>59</v>
      </c>
      <c r="K1" s="50" t="s">
        <v>478</v>
      </c>
      <c r="L1" s="50" t="s">
        <v>60</v>
      </c>
      <c r="M1" s="50" t="s">
        <v>479</v>
      </c>
      <c r="N1" s="50" t="s">
        <v>58</v>
      </c>
      <c r="P1" s="25" t="s">
        <v>480</v>
      </c>
      <c r="Q1" s="25"/>
    </row>
    <row r="2" customFormat="false" ht="15" hidden="false" customHeight="false" outlineLevel="0" collapsed="false">
      <c r="A2" s="47" t="s">
        <v>181</v>
      </c>
      <c r="B2" s="51" t="n">
        <v>45659</v>
      </c>
      <c r="C2" s="47" t="s">
        <v>67</v>
      </c>
      <c r="D2" s="47" t="s">
        <v>136</v>
      </c>
      <c r="E2" s="47" t="s">
        <v>139</v>
      </c>
      <c r="F2" s="47" t="s">
        <v>126</v>
      </c>
      <c r="G2" s="47" t="n">
        <v>1</v>
      </c>
      <c r="H2" s="52" t="n">
        <v>6500</v>
      </c>
      <c r="I2" s="49" t="n">
        <v>0.2</v>
      </c>
      <c r="J2" s="52" t="n">
        <f aca="false">G2*H2*(1-I2)</f>
        <v>5200</v>
      </c>
      <c r="K2" s="49" t="n">
        <f aca="false">INDEX('🧮 Formulas'!$F$6:$F$8,MATCH(D2,'🧮 Formulas'!$E$6:$E$8,0))</f>
        <v>0.22</v>
      </c>
      <c r="L2" s="52" t="n">
        <f aca="false">J2*K2</f>
        <v>1144</v>
      </c>
      <c r="M2" s="47" t="n">
        <f aca="false">MONTH(B2)</f>
        <v>1</v>
      </c>
      <c r="N2" s="47" t="str">
        <f aca="false">TEXT(B2,"mmm")</f>
        <v>Jan</v>
      </c>
      <c r="P2" s="53" t="s">
        <v>481</v>
      </c>
      <c r="Q2" s="54" t="n">
        <f aca="false">COUNTA('📥 Raw_Data'!A2:A313)</f>
        <v>312</v>
      </c>
    </row>
    <row r="3" customFormat="false" ht="15" hidden="false" customHeight="false" outlineLevel="0" collapsed="false">
      <c r="A3" s="47" t="s">
        <v>301</v>
      </c>
      <c r="B3" s="51" t="n">
        <v>45659</v>
      </c>
      <c r="C3" s="47" t="s">
        <v>68</v>
      </c>
      <c r="D3" s="47" t="s">
        <v>124</v>
      </c>
      <c r="E3" s="47" t="s">
        <v>131</v>
      </c>
      <c r="F3" s="47" t="s">
        <v>134</v>
      </c>
      <c r="G3" s="47" t="n">
        <v>2</v>
      </c>
      <c r="H3" s="52" t="n">
        <v>55000</v>
      </c>
      <c r="I3" s="49" t="n">
        <v>0.2</v>
      </c>
      <c r="J3" s="52" t="n">
        <f aca="false">G3*H3*(1-I3)</f>
        <v>88000</v>
      </c>
      <c r="K3" s="49" t="n">
        <f aca="false">INDEX('🧮 Formulas'!$F$6:$F$8,MATCH(D3,'🧮 Formulas'!$E$6:$E$8,0))</f>
        <v>0.18</v>
      </c>
      <c r="L3" s="52" t="n">
        <f aca="false">J3*K3</f>
        <v>15840</v>
      </c>
      <c r="M3" s="47" t="n">
        <f aca="false">MONTH(B3)</f>
        <v>1</v>
      </c>
      <c r="N3" s="47" t="str">
        <f aca="false">TEXT(B3,"mmm")</f>
        <v>Jan</v>
      </c>
      <c r="P3" s="53" t="s">
        <v>482</v>
      </c>
      <c r="Q3" s="54" t="n">
        <f aca="false">SUMPRODUCT(1/COUNTIF('📥 Raw_Data'!A2:A313,'📥 Raw_Data'!A2:A313))</f>
        <v>300</v>
      </c>
    </row>
    <row r="4" customFormat="false" ht="15" hidden="false" customHeight="false" outlineLevel="0" collapsed="false">
      <c r="A4" s="47" t="s">
        <v>343</v>
      </c>
      <c r="B4" s="51" t="n">
        <v>45659</v>
      </c>
      <c r="C4" s="47" t="s">
        <v>67</v>
      </c>
      <c r="D4" s="47" t="s">
        <v>128</v>
      </c>
      <c r="E4" s="47" t="s">
        <v>155</v>
      </c>
      <c r="F4" s="47" t="s">
        <v>141</v>
      </c>
      <c r="G4" s="47" t="n">
        <v>15</v>
      </c>
      <c r="H4" s="52" t="n">
        <v>250</v>
      </c>
      <c r="I4" s="49" t="n">
        <v>0.05</v>
      </c>
      <c r="J4" s="52" t="n">
        <f aca="false">G4*H4*(1-I4)</f>
        <v>3562.5</v>
      </c>
      <c r="K4" s="49" t="n">
        <f aca="false">INDEX('🧮 Formulas'!$F$6:$F$8,MATCH(D4,'🧮 Formulas'!$E$6:$E$8,0))</f>
        <v>0.3</v>
      </c>
      <c r="L4" s="52" t="n">
        <f aca="false">J4*K4</f>
        <v>1068.75</v>
      </c>
      <c r="M4" s="47" t="n">
        <f aca="false">MONTH(B4)</f>
        <v>1</v>
      </c>
      <c r="N4" s="47" t="str">
        <f aca="false">TEXT(B4,"mmm")</f>
        <v>Jan</v>
      </c>
      <c r="P4" s="53" t="s">
        <v>483</v>
      </c>
      <c r="Q4" s="54" t="n">
        <f aca="false">Q2-Q3</f>
        <v>12</v>
      </c>
    </row>
    <row r="5" customFormat="false" ht="15" hidden="false" customHeight="false" outlineLevel="0" collapsed="false">
      <c r="A5" s="47" t="s">
        <v>355</v>
      </c>
      <c r="B5" s="51" t="n">
        <v>45663</v>
      </c>
      <c r="C5" s="47" t="s">
        <v>66</v>
      </c>
      <c r="D5" s="47" t="s">
        <v>128</v>
      </c>
      <c r="E5" s="47" t="s">
        <v>155</v>
      </c>
      <c r="F5" s="47" t="s">
        <v>126</v>
      </c>
      <c r="G5" s="47" t="n">
        <v>10</v>
      </c>
      <c r="H5" s="52" t="n">
        <v>250</v>
      </c>
      <c r="I5" s="49" t="n">
        <v>0</v>
      </c>
      <c r="J5" s="52" t="n">
        <f aca="false">G5*H5*(1-I5)</f>
        <v>2500</v>
      </c>
      <c r="K5" s="49" t="n">
        <f aca="false">INDEX('🧮 Formulas'!$F$6:$F$8,MATCH(D5,'🧮 Formulas'!$E$6:$E$8,0))</f>
        <v>0.3</v>
      </c>
      <c r="L5" s="52" t="n">
        <f aca="false">J5*K5</f>
        <v>750</v>
      </c>
      <c r="M5" s="47" t="n">
        <f aca="false">MONTH(B5)</f>
        <v>1</v>
      </c>
      <c r="N5" s="47" t="str">
        <f aca="false">TEXT(B5,"mmm")</f>
        <v>Jan</v>
      </c>
      <c r="P5" s="53" t="s">
        <v>484</v>
      </c>
      <c r="Q5" s="54" t="n">
        <f aca="false">COUNTBLANK('📥 Raw_Data'!C2:C313)</f>
        <v>6</v>
      </c>
    </row>
    <row r="6" customFormat="false" ht="15" hidden="false" customHeight="false" outlineLevel="0" collapsed="false">
      <c r="A6" s="47" t="s">
        <v>172</v>
      </c>
      <c r="B6" s="51" t="n">
        <v>45664</v>
      </c>
      <c r="C6" s="47" t="s">
        <v>67</v>
      </c>
      <c r="D6" s="47" t="s">
        <v>128</v>
      </c>
      <c r="E6" s="47" t="s">
        <v>144</v>
      </c>
      <c r="F6" s="47" t="s">
        <v>134</v>
      </c>
      <c r="G6" s="47" t="n">
        <v>3</v>
      </c>
      <c r="H6" s="52" t="n">
        <v>180</v>
      </c>
      <c r="I6" s="49" t="n">
        <v>0.1</v>
      </c>
      <c r="J6" s="52" t="n">
        <f aca="false">G6*H6*(1-I6)</f>
        <v>486</v>
      </c>
      <c r="K6" s="49" t="n">
        <f aca="false">INDEX('🧮 Formulas'!$F$6:$F$8,MATCH(D6,'🧮 Formulas'!$E$6:$E$8,0))</f>
        <v>0.3</v>
      </c>
      <c r="L6" s="52" t="n">
        <f aca="false">J6*K6</f>
        <v>145.8</v>
      </c>
      <c r="M6" s="47" t="n">
        <f aca="false">MONTH(B6)</f>
        <v>1</v>
      </c>
      <c r="N6" s="47" t="str">
        <f aca="false">TEXT(B6,"mmm")</f>
        <v>Jan</v>
      </c>
      <c r="P6" s="53" t="s">
        <v>485</v>
      </c>
      <c r="Q6" s="54" t="n">
        <f aca="false">COUNTBLANK('📥 Raw_Data'!G2:G313)</f>
        <v>11</v>
      </c>
    </row>
    <row r="7" customFormat="false" ht="15" hidden="false" customHeight="false" outlineLevel="0" collapsed="false">
      <c r="A7" s="47" t="s">
        <v>299</v>
      </c>
      <c r="B7" s="51" t="n">
        <v>45665</v>
      </c>
      <c r="C7" s="47" t="s">
        <v>67</v>
      </c>
      <c r="D7" s="47" t="s">
        <v>128</v>
      </c>
      <c r="E7" s="47" t="s">
        <v>129</v>
      </c>
      <c r="F7" s="47" t="s">
        <v>126</v>
      </c>
      <c r="G7" s="47" t="n">
        <v>4</v>
      </c>
      <c r="H7" s="52" t="n">
        <v>120</v>
      </c>
      <c r="I7" s="49" t="n">
        <v>0.15</v>
      </c>
      <c r="J7" s="52" t="n">
        <f aca="false">G7*H7*(1-I7)</f>
        <v>408</v>
      </c>
      <c r="K7" s="49" t="n">
        <f aca="false">INDEX('🧮 Formulas'!$F$6:$F$8,MATCH(D7,'🧮 Formulas'!$E$6:$E$8,0))</f>
        <v>0.3</v>
      </c>
      <c r="L7" s="52" t="n">
        <f aca="false">J7*K7</f>
        <v>122.4</v>
      </c>
      <c r="M7" s="47" t="n">
        <f aca="false">MONTH(B7)</f>
        <v>1</v>
      </c>
      <c r="N7" s="47" t="str">
        <f aca="false">TEXT(B7,"mmm")</f>
        <v>Jan</v>
      </c>
      <c r="P7" s="53" t="s">
        <v>486</v>
      </c>
      <c r="Q7" s="54" t="n">
        <f aca="false">COUNTBLANK('📥 Raw_Data'!I2:I313)</f>
        <v>13</v>
      </c>
    </row>
    <row r="8" customFormat="false" ht="15" hidden="false" customHeight="false" outlineLevel="0" collapsed="false">
      <c r="A8" s="47" t="s">
        <v>289</v>
      </c>
      <c r="B8" s="51" t="n">
        <v>45666</v>
      </c>
      <c r="C8" s="47" t="s">
        <v>67</v>
      </c>
      <c r="D8" s="47" t="s">
        <v>136</v>
      </c>
      <c r="E8" s="47" t="s">
        <v>139</v>
      </c>
      <c r="F8" s="47" t="s">
        <v>134</v>
      </c>
      <c r="G8" s="47" t="n">
        <v>4</v>
      </c>
      <c r="H8" s="52" t="n">
        <v>6500</v>
      </c>
      <c r="I8" s="49" t="n">
        <v>0.2</v>
      </c>
      <c r="J8" s="52" t="n">
        <f aca="false">G8*H8*(1-I8)</f>
        <v>20800</v>
      </c>
      <c r="K8" s="49" t="n">
        <f aca="false">INDEX('🧮 Formulas'!$F$6:$F$8,MATCH(D8,'🧮 Formulas'!$E$6:$E$8,0))</f>
        <v>0.22</v>
      </c>
      <c r="L8" s="52" t="n">
        <f aca="false">J8*K8</f>
        <v>4576</v>
      </c>
      <c r="M8" s="47" t="n">
        <f aca="false">MONTH(B8)</f>
        <v>1</v>
      </c>
      <c r="N8" s="47" t="str">
        <f aca="false">TEXT(B8,"mmm")</f>
        <v>Jan</v>
      </c>
      <c r="P8" s="53" t="s">
        <v>487</v>
      </c>
      <c r="Q8" s="54" t="n">
        <f aca="false">COUNTA(A2:A295)</f>
        <v>294</v>
      </c>
    </row>
    <row r="9" customFormat="false" ht="15" hidden="false" customHeight="false" outlineLevel="0" collapsed="false">
      <c r="A9" s="47" t="s">
        <v>199</v>
      </c>
      <c r="B9" s="51" t="n">
        <v>45667</v>
      </c>
      <c r="C9" s="47" t="s">
        <v>65</v>
      </c>
      <c r="D9" s="47" t="s">
        <v>128</v>
      </c>
      <c r="E9" s="47" t="s">
        <v>155</v>
      </c>
      <c r="F9" s="47" t="s">
        <v>134</v>
      </c>
      <c r="G9" s="47" t="n">
        <v>9</v>
      </c>
      <c r="H9" s="52" t="n">
        <v>250</v>
      </c>
      <c r="I9" s="49" t="n">
        <v>0.05</v>
      </c>
      <c r="J9" s="52" t="n">
        <f aca="false">G9*H9*(1-I9)</f>
        <v>2137.5</v>
      </c>
      <c r="K9" s="49" t="n">
        <f aca="false">INDEX('🧮 Formulas'!$F$6:$F$8,MATCH(D9,'🧮 Formulas'!$E$6:$E$8,0))</f>
        <v>0.3</v>
      </c>
      <c r="L9" s="52" t="n">
        <f aca="false">J9*K9</f>
        <v>641.25</v>
      </c>
      <c r="M9" s="47" t="n">
        <f aca="false">MONTH(B9)</f>
        <v>1</v>
      </c>
      <c r="N9" s="47" t="str">
        <f aca="false">TEXT(B9,"mmm")</f>
        <v>Jan</v>
      </c>
    </row>
    <row r="10" customFormat="false" ht="15" hidden="false" customHeight="false" outlineLevel="0" collapsed="false">
      <c r="A10" s="47" t="s">
        <v>417</v>
      </c>
      <c r="B10" s="51" t="n">
        <v>45667</v>
      </c>
      <c r="C10" s="47" t="s">
        <v>68</v>
      </c>
      <c r="D10" s="47" t="s">
        <v>128</v>
      </c>
      <c r="E10" s="47" t="s">
        <v>129</v>
      </c>
      <c r="F10" s="47" t="s">
        <v>134</v>
      </c>
      <c r="G10" s="47" t="n">
        <v>5</v>
      </c>
      <c r="H10" s="52" t="n">
        <v>120</v>
      </c>
      <c r="I10" s="49" t="n">
        <v>0.1</v>
      </c>
      <c r="J10" s="52" t="n">
        <f aca="false">G10*H10*(1-I10)</f>
        <v>540</v>
      </c>
      <c r="K10" s="49" t="n">
        <f aca="false">INDEX('🧮 Formulas'!$F$6:$F$8,MATCH(D10,'🧮 Formulas'!$E$6:$E$8,0))</f>
        <v>0.3</v>
      </c>
      <c r="L10" s="52" t="n">
        <f aca="false">J10*K10</f>
        <v>162</v>
      </c>
      <c r="M10" s="47" t="n">
        <f aca="false">MONTH(B10)</f>
        <v>1</v>
      </c>
      <c r="N10" s="47" t="str">
        <f aca="false">TEXT(B10,"mmm")</f>
        <v>Jan</v>
      </c>
      <c r="P10" s="8" t="s">
        <v>488</v>
      </c>
    </row>
    <row r="11" customFormat="false" ht="15" hidden="false" customHeight="false" outlineLevel="0" collapsed="false">
      <c r="A11" s="47" t="s">
        <v>276</v>
      </c>
      <c r="B11" s="51" t="n">
        <v>45669</v>
      </c>
      <c r="C11" s="47" t="s">
        <v>65</v>
      </c>
      <c r="D11" s="47" t="s">
        <v>136</v>
      </c>
      <c r="E11" s="47" t="s">
        <v>139</v>
      </c>
      <c r="F11" s="47" t="s">
        <v>134</v>
      </c>
      <c r="G11" s="47" t="n">
        <v>4</v>
      </c>
      <c r="H11" s="52" t="n">
        <v>6500</v>
      </c>
      <c r="I11" s="49" t="n">
        <v>0.15</v>
      </c>
      <c r="J11" s="52" t="n">
        <f aca="false">G11*H11*(1-I11)</f>
        <v>22100</v>
      </c>
      <c r="K11" s="49" t="n">
        <f aca="false">INDEX('🧮 Formulas'!$F$6:$F$8,MATCH(D11,'🧮 Formulas'!$E$6:$E$8,0))</f>
        <v>0.22</v>
      </c>
      <c r="L11" s="52" t="n">
        <f aca="false">J11*K11</f>
        <v>4862</v>
      </c>
      <c r="M11" s="47" t="n">
        <f aca="false">MONTH(B11)</f>
        <v>1</v>
      </c>
      <c r="N11" s="47" t="str">
        <f aca="false">TEXT(B11,"mmm")</f>
        <v>Jan</v>
      </c>
    </row>
    <row r="12" customFormat="false" ht="15" hidden="false" customHeight="false" outlineLevel="0" collapsed="false">
      <c r="A12" s="47" t="s">
        <v>368</v>
      </c>
      <c r="B12" s="51" t="n">
        <v>45672</v>
      </c>
      <c r="C12" s="47" t="s">
        <v>65</v>
      </c>
      <c r="D12" s="47" t="s">
        <v>124</v>
      </c>
      <c r="E12" s="47" t="s">
        <v>125</v>
      </c>
      <c r="F12" s="47" t="s">
        <v>126</v>
      </c>
      <c r="G12" s="47" t="n">
        <v>1</v>
      </c>
      <c r="H12" s="52" t="n">
        <v>3500</v>
      </c>
      <c r="I12" s="49" t="n">
        <v>0.2</v>
      </c>
      <c r="J12" s="52" t="n">
        <f aca="false">G12*H12*(1-I12)</f>
        <v>2800</v>
      </c>
      <c r="K12" s="49" t="n">
        <f aca="false">INDEX('🧮 Formulas'!$F$6:$F$8,MATCH(D12,'🧮 Formulas'!$E$6:$E$8,0))</f>
        <v>0.18</v>
      </c>
      <c r="L12" s="52" t="n">
        <f aca="false">J12*K12</f>
        <v>504</v>
      </c>
      <c r="M12" s="47" t="n">
        <f aca="false">MONTH(B12)</f>
        <v>1</v>
      </c>
      <c r="N12" s="47" t="str">
        <f aca="false">TEXT(B12,"mmm")</f>
        <v>Jan</v>
      </c>
    </row>
    <row r="13" customFormat="false" ht="15" hidden="false" customHeight="false" outlineLevel="0" collapsed="false">
      <c r="A13" s="47" t="s">
        <v>462</v>
      </c>
      <c r="B13" s="51" t="n">
        <v>45673</v>
      </c>
      <c r="C13" s="47" t="s">
        <v>66</v>
      </c>
      <c r="D13" s="47" t="s">
        <v>128</v>
      </c>
      <c r="E13" s="47" t="s">
        <v>129</v>
      </c>
      <c r="F13" s="47" t="s">
        <v>126</v>
      </c>
      <c r="G13" s="47" t="n">
        <v>14</v>
      </c>
      <c r="H13" s="52" t="n">
        <v>120</v>
      </c>
      <c r="I13" s="49" t="n">
        <v>0</v>
      </c>
      <c r="J13" s="52" t="n">
        <f aca="false">G13*H13*(1-I13)</f>
        <v>1680</v>
      </c>
      <c r="K13" s="49" t="n">
        <f aca="false">INDEX('🧮 Formulas'!$F$6:$F$8,MATCH(D13,'🧮 Formulas'!$E$6:$E$8,0))</f>
        <v>0.3</v>
      </c>
      <c r="L13" s="52" t="n">
        <f aca="false">J13*K13</f>
        <v>504</v>
      </c>
      <c r="M13" s="47" t="n">
        <f aca="false">MONTH(B13)</f>
        <v>1</v>
      </c>
      <c r="N13" s="47" t="str">
        <f aca="false">TEXT(B13,"mmm")</f>
        <v>Jan</v>
      </c>
    </row>
    <row r="14" customFormat="false" ht="15" hidden="false" customHeight="false" outlineLevel="0" collapsed="false">
      <c r="A14" s="47" t="s">
        <v>310</v>
      </c>
      <c r="B14" s="51" t="n">
        <v>45676</v>
      </c>
      <c r="C14" s="47" t="s">
        <v>66</v>
      </c>
      <c r="D14" s="47" t="s">
        <v>128</v>
      </c>
      <c r="E14" s="47" t="s">
        <v>144</v>
      </c>
      <c r="F14" s="47" t="s">
        <v>134</v>
      </c>
      <c r="G14" s="47" t="n">
        <v>6</v>
      </c>
      <c r="H14" s="52" t="n">
        <v>180</v>
      </c>
      <c r="I14" s="49" t="n">
        <v>0.05</v>
      </c>
      <c r="J14" s="52" t="n">
        <f aca="false">G14*H14*(1-I14)</f>
        <v>1026</v>
      </c>
      <c r="K14" s="49" t="n">
        <f aca="false">INDEX('🧮 Formulas'!$F$6:$F$8,MATCH(D14,'🧮 Formulas'!$E$6:$E$8,0))</f>
        <v>0.3</v>
      </c>
      <c r="L14" s="52" t="n">
        <f aca="false">J14*K14</f>
        <v>307.8</v>
      </c>
      <c r="M14" s="47" t="n">
        <f aca="false">MONTH(B14)</f>
        <v>1</v>
      </c>
      <c r="N14" s="47" t="str">
        <f aca="false">TEXT(B14,"mmm")</f>
        <v>Jan</v>
      </c>
    </row>
    <row r="15" customFormat="false" ht="15" hidden="false" customHeight="false" outlineLevel="0" collapsed="false">
      <c r="A15" s="47" t="s">
        <v>272</v>
      </c>
      <c r="B15" s="51" t="n">
        <v>45677</v>
      </c>
      <c r="C15" s="47" t="s">
        <v>68</v>
      </c>
      <c r="D15" s="47" t="s">
        <v>128</v>
      </c>
      <c r="E15" s="47" t="s">
        <v>129</v>
      </c>
      <c r="F15" s="47" t="s">
        <v>126</v>
      </c>
      <c r="G15" s="47" t="n">
        <v>8</v>
      </c>
      <c r="H15" s="52" t="n">
        <v>120</v>
      </c>
      <c r="I15" s="49" t="n">
        <v>0</v>
      </c>
      <c r="J15" s="52" t="n">
        <f aca="false">G15*H15*(1-I15)</f>
        <v>960</v>
      </c>
      <c r="K15" s="49" t="n">
        <f aca="false">INDEX('🧮 Formulas'!$F$6:$F$8,MATCH(D15,'🧮 Formulas'!$E$6:$E$8,0))</f>
        <v>0.3</v>
      </c>
      <c r="L15" s="52" t="n">
        <f aca="false">J15*K15</f>
        <v>288</v>
      </c>
      <c r="M15" s="47" t="n">
        <f aca="false">MONTH(B15)</f>
        <v>1</v>
      </c>
      <c r="N15" s="47" t="str">
        <f aca="false">TEXT(B15,"mmm")</f>
        <v>Jan</v>
      </c>
    </row>
    <row r="16" customFormat="false" ht="15" hidden="false" customHeight="false" outlineLevel="0" collapsed="false">
      <c r="A16" s="47" t="s">
        <v>286</v>
      </c>
      <c r="B16" s="51" t="n">
        <v>45677</v>
      </c>
      <c r="C16" s="47" t="s">
        <v>65</v>
      </c>
      <c r="D16" s="47" t="s">
        <v>124</v>
      </c>
      <c r="E16" s="47" t="s">
        <v>146</v>
      </c>
      <c r="F16" s="47" t="s">
        <v>134</v>
      </c>
      <c r="G16" s="47" t="n">
        <v>4</v>
      </c>
      <c r="H16" s="52" t="n">
        <v>14000</v>
      </c>
      <c r="I16" s="49" t="n">
        <v>0.05</v>
      </c>
      <c r="J16" s="52" t="n">
        <f aca="false">G16*H16*(1-I16)</f>
        <v>53200</v>
      </c>
      <c r="K16" s="49" t="n">
        <f aca="false">INDEX('🧮 Formulas'!$F$6:$F$8,MATCH(D16,'🧮 Formulas'!$E$6:$E$8,0))</f>
        <v>0.18</v>
      </c>
      <c r="L16" s="52" t="n">
        <f aca="false">J16*K16</f>
        <v>9576</v>
      </c>
      <c r="M16" s="47" t="n">
        <f aca="false">MONTH(B16)</f>
        <v>1</v>
      </c>
      <c r="N16" s="47" t="str">
        <f aca="false">TEXT(B16,"mmm")</f>
        <v>Jan</v>
      </c>
    </row>
    <row r="17" customFormat="false" ht="15" hidden="false" customHeight="false" outlineLevel="0" collapsed="false">
      <c r="A17" s="47" t="s">
        <v>430</v>
      </c>
      <c r="B17" s="51" t="n">
        <v>45677</v>
      </c>
      <c r="C17" s="47" t="s">
        <v>66</v>
      </c>
      <c r="D17" s="47" t="s">
        <v>136</v>
      </c>
      <c r="E17" s="47" t="s">
        <v>160</v>
      </c>
      <c r="F17" s="47" t="s">
        <v>141</v>
      </c>
      <c r="G17" s="47" t="n">
        <v>1</v>
      </c>
      <c r="H17" s="52" t="n">
        <v>8500</v>
      </c>
      <c r="I17" s="49" t="n">
        <v>0.05</v>
      </c>
      <c r="J17" s="52" t="n">
        <f aca="false">G17*H17*(1-I17)</f>
        <v>8075</v>
      </c>
      <c r="K17" s="49" t="n">
        <f aca="false">INDEX('🧮 Formulas'!$F$6:$F$8,MATCH(D17,'🧮 Formulas'!$E$6:$E$8,0))</f>
        <v>0.22</v>
      </c>
      <c r="L17" s="52" t="n">
        <f aca="false">J17*K17</f>
        <v>1776.5</v>
      </c>
      <c r="M17" s="47" t="n">
        <f aca="false">MONTH(B17)</f>
        <v>1</v>
      </c>
      <c r="N17" s="47" t="str">
        <f aca="false">TEXT(B17,"mmm")</f>
        <v>Jan</v>
      </c>
    </row>
    <row r="18" customFormat="false" ht="15" hidden="false" customHeight="false" outlineLevel="0" collapsed="false">
      <c r="A18" s="47" t="s">
        <v>440</v>
      </c>
      <c r="B18" s="51" t="n">
        <v>45680</v>
      </c>
      <c r="C18" s="47" t="s">
        <v>68</v>
      </c>
      <c r="D18" s="47" t="s">
        <v>128</v>
      </c>
      <c r="E18" s="47" t="s">
        <v>155</v>
      </c>
      <c r="F18" s="47" t="s">
        <v>141</v>
      </c>
      <c r="G18" s="47" t="n">
        <v>14</v>
      </c>
      <c r="H18" s="52" t="n">
        <v>250</v>
      </c>
      <c r="I18" s="49" t="n">
        <v>0</v>
      </c>
      <c r="J18" s="52" t="n">
        <f aca="false">G18*H18*(1-I18)</f>
        <v>3500</v>
      </c>
      <c r="K18" s="49" t="n">
        <f aca="false">INDEX('🧮 Formulas'!$F$6:$F$8,MATCH(D18,'🧮 Formulas'!$E$6:$E$8,0))</f>
        <v>0.3</v>
      </c>
      <c r="L18" s="52" t="n">
        <f aca="false">J18*K18</f>
        <v>1050</v>
      </c>
      <c r="M18" s="47" t="n">
        <f aca="false">MONTH(B18)</f>
        <v>1</v>
      </c>
      <c r="N18" s="47" t="str">
        <f aca="false">TEXT(B18,"mmm")</f>
        <v>Jan</v>
      </c>
    </row>
    <row r="19" customFormat="false" ht="15" hidden="false" customHeight="false" outlineLevel="0" collapsed="false">
      <c r="A19" s="47" t="s">
        <v>165</v>
      </c>
      <c r="B19" s="51" t="n">
        <v>45680</v>
      </c>
      <c r="C19" s="47" t="s">
        <v>68</v>
      </c>
      <c r="D19" s="47" t="s">
        <v>124</v>
      </c>
      <c r="E19" s="47" t="s">
        <v>133</v>
      </c>
      <c r="F19" s="47" t="s">
        <v>126</v>
      </c>
      <c r="G19" s="47" t="n">
        <v>3</v>
      </c>
      <c r="H19" s="52" t="n">
        <v>22000</v>
      </c>
      <c r="I19" s="49" t="n">
        <v>0.15</v>
      </c>
      <c r="J19" s="52" t="n">
        <f aca="false">G19*H19*(1-I19)</f>
        <v>56100</v>
      </c>
      <c r="K19" s="49" t="n">
        <f aca="false">INDEX('🧮 Formulas'!$F$6:$F$8,MATCH(D19,'🧮 Formulas'!$E$6:$E$8,0))</f>
        <v>0.18</v>
      </c>
      <c r="L19" s="52" t="n">
        <f aca="false">J19*K19</f>
        <v>10098</v>
      </c>
      <c r="M19" s="47" t="n">
        <f aca="false">MONTH(B19)</f>
        <v>1</v>
      </c>
      <c r="N19" s="47" t="str">
        <f aca="false">TEXT(B19,"mmm")</f>
        <v>Jan</v>
      </c>
    </row>
    <row r="20" customFormat="false" ht="15" hidden="false" customHeight="false" outlineLevel="0" collapsed="false">
      <c r="A20" s="47" t="s">
        <v>164</v>
      </c>
      <c r="B20" s="51" t="n">
        <v>45680</v>
      </c>
      <c r="C20" s="47" t="s">
        <v>67</v>
      </c>
      <c r="D20" s="47" t="s">
        <v>136</v>
      </c>
      <c r="E20" s="47" t="s">
        <v>137</v>
      </c>
      <c r="F20" s="47" t="s">
        <v>141</v>
      </c>
      <c r="G20" s="47" t="n">
        <v>4</v>
      </c>
      <c r="H20" s="52" t="n">
        <v>12000</v>
      </c>
      <c r="I20" s="49" t="n">
        <v>0.1</v>
      </c>
      <c r="J20" s="52" t="n">
        <f aca="false">G20*H20*(1-I20)</f>
        <v>43200</v>
      </c>
      <c r="K20" s="49" t="n">
        <f aca="false">INDEX('🧮 Formulas'!$F$6:$F$8,MATCH(D20,'🧮 Formulas'!$E$6:$E$8,0))</f>
        <v>0.22</v>
      </c>
      <c r="L20" s="52" t="n">
        <f aca="false">J20*K20</f>
        <v>9504</v>
      </c>
      <c r="M20" s="47" t="n">
        <f aca="false">MONTH(B20)</f>
        <v>1</v>
      </c>
      <c r="N20" s="47" t="str">
        <f aca="false">TEXT(B20,"mmm")</f>
        <v>Jan</v>
      </c>
    </row>
    <row r="21" customFormat="false" ht="15" hidden="false" customHeight="false" outlineLevel="0" collapsed="false">
      <c r="A21" s="47" t="s">
        <v>280</v>
      </c>
      <c r="B21" s="51" t="n">
        <v>45683</v>
      </c>
      <c r="C21" s="47" t="s">
        <v>67</v>
      </c>
      <c r="D21" s="47" t="s">
        <v>136</v>
      </c>
      <c r="E21" s="47" t="s">
        <v>184</v>
      </c>
      <c r="F21" s="47" t="s">
        <v>134</v>
      </c>
      <c r="G21" s="47" t="n">
        <v>2</v>
      </c>
      <c r="H21" s="52" t="n">
        <v>1800</v>
      </c>
      <c r="I21" s="49" t="n">
        <v>0.05</v>
      </c>
      <c r="J21" s="52" t="n">
        <f aca="false">G21*H21*(1-I21)</f>
        <v>3420</v>
      </c>
      <c r="K21" s="49" t="n">
        <f aca="false">INDEX('🧮 Formulas'!$F$6:$F$8,MATCH(D21,'🧮 Formulas'!$E$6:$E$8,0))</f>
        <v>0.22</v>
      </c>
      <c r="L21" s="52" t="n">
        <f aca="false">J21*K21</f>
        <v>752.4</v>
      </c>
      <c r="M21" s="47" t="n">
        <f aca="false">MONTH(B21)</f>
        <v>1</v>
      </c>
      <c r="N21" s="47" t="str">
        <f aca="false">TEXT(B21,"mmm")</f>
        <v>Jan</v>
      </c>
    </row>
    <row r="22" customFormat="false" ht="15" hidden="false" customHeight="false" outlineLevel="0" collapsed="false">
      <c r="A22" s="47" t="s">
        <v>415</v>
      </c>
      <c r="B22" s="51" t="n">
        <v>45684</v>
      </c>
      <c r="C22" s="47" t="s">
        <v>66</v>
      </c>
      <c r="D22" s="47" t="s">
        <v>136</v>
      </c>
      <c r="E22" s="47" t="s">
        <v>137</v>
      </c>
      <c r="F22" s="47" t="s">
        <v>141</v>
      </c>
      <c r="G22" s="47" t="n">
        <v>3</v>
      </c>
      <c r="H22" s="52" t="n">
        <v>12000</v>
      </c>
      <c r="I22" s="49" t="n">
        <v>0.1</v>
      </c>
      <c r="J22" s="52" t="n">
        <f aca="false">G22*H22*(1-I22)</f>
        <v>32400</v>
      </c>
      <c r="K22" s="49" t="n">
        <f aca="false">INDEX('🧮 Formulas'!$F$6:$F$8,MATCH(D22,'🧮 Formulas'!$E$6:$E$8,0))</f>
        <v>0.22</v>
      </c>
      <c r="L22" s="52" t="n">
        <f aca="false">J22*K22</f>
        <v>7128</v>
      </c>
      <c r="M22" s="47" t="n">
        <f aca="false">MONTH(B22)</f>
        <v>1</v>
      </c>
      <c r="N22" s="47" t="str">
        <f aca="false">TEXT(B22,"mmm")</f>
        <v>Jan</v>
      </c>
    </row>
    <row r="23" customFormat="false" ht="15" hidden="false" customHeight="false" outlineLevel="0" collapsed="false">
      <c r="A23" s="47" t="s">
        <v>372</v>
      </c>
      <c r="B23" s="51" t="n">
        <v>45686</v>
      </c>
      <c r="C23" s="47" t="s">
        <v>67</v>
      </c>
      <c r="D23" s="47" t="s">
        <v>128</v>
      </c>
      <c r="E23" s="47" t="s">
        <v>129</v>
      </c>
      <c r="F23" s="47" t="s">
        <v>134</v>
      </c>
      <c r="G23" s="47" t="n">
        <v>7</v>
      </c>
      <c r="H23" s="52" t="n">
        <v>120</v>
      </c>
      <c r="I23" s="49" t="n">
        <v>0.05</v>
      </c>
      <c r="J23" s="52" t="n">
        <f aca="false">G23*H23*(1-I23)</f>
        <v>798</v>
      </c>
      <c r="K23" s="49" t="n">
        <f aca="false">INDEX('🧮 Formulas'!$F$6:$F$8,MATCH(D23,'🧮 Formulas'!$E$6:$E$8,0))</f>
        <v>0.3</v>
      </c>
      <c r="L23" s="52" t="n">
        <f aca="false">J23*K23</f>
        <v>239.4</v>
      </c>
      <c r="M23" s="47" t="n">
        <f aca="false">MONTH(B23)</f>
        <v>1</v>
      </c>
      <c r="N23" s="47" t="str">
        <f aca="false">TEXT(B23,"mmm")</f>
        <v>Jan</v>
      </c>
    </row>
    <row r="24" customFormat="false" ht="15" hidden="false" customHeight="false" outlineLevel="0" collapsed="false">
      <c r="A24" s="47" t="s">
        <v>255</v>
      </c>
      <c r="B24" s="51" t="n">
        <v>45688</v>
      </c>
      <c r="C24" s="47" t="s">
        <v>66</v>
      </c>
      <c r="D24" s="47" t="s">
        <v>128</v>
      </c>
      <c r="E24" s="47" t="s">
        <v>149</v>
      </c>
      <c r="F24" s="47" t="s">
        <v>134</v>
      </c>
      <c r="G24" s="47" t="n">
        <v>3</v>
      </c>
      <c r="H24" s="52" t="n">
        <v>450</v>
      </c>
      <c r="I24" s="49" t="n">
        <v>0.15</v>
      </c>
      <c r="J24" s="52" t="n">
        <f aca="false">G24*H24*(1-I24)</f>
        <v>1147.5</v>
      </c>
      <c r="K24" s="49" t="n">
        <f aca="false">INDEX('🧮 Formulas'!$F$6:$F$8,MATCH(D24,'🧮 Formulas'!$E$6:$E$8,0))</f>
        <v>0.3</v>
      </c>
      <c r="L24" s="52" t="n">
        <f aca="false">J24*K24</f>
        <v>344.25</v>
      </c>
      <c r="M24" s="47" t="n">
        <f aca="false">MONTH(B24)</f>
        <v>1</v>
      </c>
      <c r="N24" s="47" t="str">
        <f aca="false">TEXT(B24,"mmm")</f>
        <v>Jan</v>
      </c>
    </row>
    <row r="25" customFormat="false" ht="15" hidden="false" customHeight="false" outlineLevel="0" collapsed="false">
      <c r="A25" s="47" t="s">
        <v>381</v>
      </c>
      <c r="B25" s="51" t="n">
        <v>45690</v>
      </c>
      <c r="C25" s="47" t="s">
        <v>65</v>
      </c>
      <c r="D25" s="47" t="s">
        <v>124</v>
      </c>
      <c r="E25" s="47" t="s">
        <v>146</v>
      </c>
      <c r="F25" s="47" t="s">
        <v>134</v>
      </c>
      <c r="G25" s="47" t="n">
        <v>4</v>
      </c>
      <c r="H25" s="52" t="n">
        <v>14000</v>
      </c>
      <c r="I25" s="49" t="n">
        <v>0.15</v>
      </c>
      <c r="J25" s="52" t="n">
        <f aca="false">G25*H25*(1-I25)</f>
        <v>47600</v>
      </c>
      <c r="K25" s="49" t="n">
        <f aca="false">INDEX('🧮 Formulas'!$F$6:$F$8,MATCH(D25,'🧮 Formulas'!$E$6:$E$8,0))</f>
        <v>0.18</v>
      </c>
      <c r="L25" s="52" t="n">
        <f aca="false">J25*K25</f>
        <v>8568</v>
      </c>
      <c r="M25" s="47" t="n">
        <f aca="false">MONTH(B25)</f>
        <v>2</v>
      </c>
      <c r="N25" s="47" t="str">
        <f aca="false">TEXT(B25,"mmm")</f>
        <v>Feb</v>
      </c>
    </row>
    <row r="26" customFormat="false" ht="15" hidden="false" customHeight="false" outlineLevel="0" collapsed="false">
      <c r="A26" s="47" t="s">
        <v>287</v>
      </c>
      <c r="B26" s="51" t="n">
        <v>45691</v>
      </c>
      <c r="C26" s="47" t="s">
        <v>66</v>
      </c>
      <c r="D26" s="47" t="s">
        <v>128</v>
      </c>
      <c r="E26" s="47" t="s">
        <v>144</v>
      </c>
      <c r="F26" s="47" t="s">
        <v>141</v>
      </c>
      <c r="G26" s="47" t="n">
        <v>6</v>
      </c>
      <c r="H26" s="52" t="n">
        <v>180</v>
      </c>
      <c r="I26" s="49" t="n">
        <v>0</v>
      </c>
      <c r="J26" s="52" t="n">
        <f aca="false">G26*H26*(1-I26)</f>
        <v>1080</v>
      </c>
      <c r="K26" s="49" t="n">
        <f aca="false">INDEX('🧮 Formulas'!$F$6:$F$8,MATCH(D26,'🧮 Formulas'!$E$6:$E$8,0))</f>
        <v>0.3</v>
      </c>
      <c r="L26" s="52" t="n">
        <f aca="false">J26*K26</f>
        <v>324</v>
      </c>
      <c r="M26" s="47" t="n">
        <f aca="false">MONTH(B26)</f>
        <v>2</v>
      </c>
      <c r="N26" s="47" t="str">
        <f aca="false">TEXT(B26,"mmm")</f>
        <v>Feb</v>
      </c>
    </row>
    <row r="27" customFormat="false" ht="15" hidden="false" customHeight="false" outlineLevel="0" collapsed="false">
      <c r="A27" s="47" t="s">
        <v>269</v>
      </c>
      <c r="B27" s="51" t="n">
        <v>45692</v>
      </c>
      <c r="C27" s="47" t="s">
        <v>65</v>
      </c>
      <c r="D27" s="47" t="s">
        <v>124</v>
      </c>
      <c r="E27" s="47" t="s">
        <v>131</v>
      </c>
      <c r="F27" s="47" t="s">
        <v>134</v>
      </c>
      <c r="G27" s="47" t="n">
        <v>2</v>
      </c>
      <c r="H27" s="52" t="n">
        <v>55000</v>
      </c>
      <c r="I27" s="49" t="n">
        <v>0</v>
      </c>
      <c r="J27" s="52" t="n">
        <f aca="false">G27*H27*(1-I27)</f>
        <v>110000</v>
      </c>
      <c r="K27" s="49" t="n">
        <f aca="false">INDEX('🧮 Formulas'!$F$6:$F$8,MATCH(D27,'🧮 Formulas'!$E$6:$E$8,0))</f>
        <v>0.18</v>
      </c>
      <c r="L27" s="52" t="n">
        <f aca="false">J27*K27</f>
        <v>19800</v>
      </c>
      <c r="M27" s="47" t="n">
        <f aca="false">MONTH(B27)</f>
        <v>2</v>
      </c>
      <c r="N27" s="47" t="str">
        <f aca="false">TEXT(B27,"mmm")</f>
        <v>Feb</v>
      </c>
    </row>
    <row r="28" customFormat="false" ht="15" hidden="false" customHeight="false" outlineLevel="0" collapsed="false">
      <c r="A28" s="47" t="s">
        <v>409</v>
      </c>
      <c r="B28" s="51" t="n">
        <v>45693</v>
      </c>
      <c r="C28" s="47" t="s">
        <v>67</v>
      </c>
      <c r="D28" s="47" t="s">
        <v>128</v>
      </c>
      <c r="E28" s="47" t="s">
        <v>149</v>
      </c>
      <c r="F28" s="47" t="s">
        <v>134</v>
      </c>
      <c r="G28" s="47" t="n">
        <v>10</v>
      </c>
      <c r="H28" s="52" t="n">
        <v>450</v>
      </c>
      <c r="I28" s="49" t="n">
        <v>0.05</v>
      </c>
      <c r="J28" s="52" t="n">
        <f aca="false">G28*H28*(1-I28)</f>
        <v>4275</v>
      </c>
      <c r="K28" s="49" t="n">
        <f aca="false">INDEX('🧮 Formulas'!$F$6:$F$8,MATCH(D28,'🧮 Formulas'!$E$6:$E$8,0))</f>
        <v>0.3</v>
      </c>
      <c r="L28" s="52" t="n">
        <f aca="false">J28*K28</f>
        <v>1282.5</v>
      </c>
      <c r="M28" s="47" t="n">
        <f aca="false">MONTH(B28)</f>
        <v>2</v>
      </c>
      <c r="N28" s="47" t="str">
        <f aca="false">TEXT(B28,"mmm")</f>
        <v>Feb</v>
      </c>
    </row>
    <row r="29" customFormat="false" ht="15" hidden="false" customHeight="false" outlineLevel="0" collapsed="false">
      <c r="A29" s="47" t="s">
        <v>379</v>
      </c>
      <c r="B29" s="51" t="n">
        <v>45695</v>
      </c>
      <c r="C29" s="47" t="s">
        <v>65</v>
      </c>
      <c r="D29" s="47" t="s">
        <v>128</v>
      </c>
      <c r="E29" s="47" t="s">
        <v>144</v>
      </c>
      <c r="F29" s="47" t="s">
        <v>134</v>
      </c>
      <c r="G29" s="47" t="n">
        <v>7</v>
      </c>
      <c r="H29" s="52" t="n">
        <v>180</v>
      </c>
      <c r="I29" s="49" t="n">
        <v>0.15</v>
      </c>
      <c r="J29" s="52" t="n">
        <f aca="false">G29*H29*(1-I29)</f>
        <v>1071</v>
      </c>
      <c r="K29" s="49" t="n">
        <f aca="false">INDEX('🧮 Formulas'!$F$6:$F$8,MATCH(D29,'🧮 Formulas'!$E$6:$E$8,0))</f>
        <v>0.3</v>
      </c>
      <c r="L29" s="52" t="n">
        <f aca="false">J29*K29</f>
        <v>321.3</v>
      </c>
      <c r="M29" s="47" t="n">
        <f aca="false">MONTH(B29)</f>
        <v>2</v>
      </c>
      <c r="N29" s="47" t="str">
        <f aca="false">TEXT(B29,"mmm")</f>
        <v>Feb</v>
      </c>
    </row>
    <row r="30" customFormat="false" ht="15" hidden="false" customHeight="false" outlineLevel="0" collapsed="false">
      <c r="A30" s="47" t="s">
        <v>161</v>
      </c>
      <c r="B30" s="51" t="n">
        <v>45697</v>
      </c>
      <c r="C30" s="47" t="s">
        <v>65</v>
      </c>
      <c r="D30" s="47" t="s">
        <v>136</v>
      </c>
      <c r="E30" s="47" t="s">
        <v>139</v>
      </c>
      <c r="F30" s="47" t="s">
        <v>141</v>
      </c>
      <c r="G30" s="47" t="n">
        <v>2</v>
      </c>
      <c r="H30" s="52" t="n">
        <v>6500</v>
      </c>
      <c r="I30" s="49" t="n">
        <v>0.15</v>
      </c>
      <c r="J30" s="52" t="n">
        <f aca="false">G30*H30*(1-I30)</f>
        <v>11050</v>
      </c>
      <c r="K30" s="49" t="n">
        <f aca="false">INDEX('🧮 Formulas'!$F$6:$F$8,MATCH(D30,'🧮 Formulas'!$E$6:$E$8,0))</f>
        <v>0.22</v>
      </c>
      <c r="L30" s="52" t="n">
        <f aca="false">J30*K30</f>
        <v>2431</v>
      </c>
      <c r="M30" s="47" t="n">
        <f aca="false">MONTH(B30)</f>
        <v>2</v>
      </c>
      <c r="N30" s="47" t="str">
        <f aca="false">TEXT(B30,"mmm")</f>
        <v>Feb</v>
      </c>
    </row>
    <row r="31" customFormat="false" ht="15" hidden="false" customHeight="false" outlineLevel="0" collapsed="false">
      <c r="A31" s="47" t="s">
        <v>271</v>
      </c>
      <c r="B31" s="51" t="n">
        <v>45698</v>
      </c>
      <c r="C31" s="47" t="s">
        <v>68</v>
      </c>
      <c r="D31" s="47" t="s">
        <v>136</v>
      </c>
      <c r="E31" s="47" t="s">
        <v>184</v>
      </c>
      <c r="F31" s="47" t="s">
        <v>134</v>
      </c>
      <c r="G31" s="47" t="n">
        <v>5</v>
      </c>
      <c r="H31" s="52" t="n">
        <v>1800</v>
      </c>
      <c r="I31" s="49" t="n">
        <v>0.2</v>
      </c>
      <c r="J31" s="52" t="n">
        <f aca="false">G31*H31*(1-I31)</f>
        <v>7200</v>
      </c>
      <c r="K31" s="49" t="n">
        <f aca="false">INDEX('🧮 Formulas'!$F$6:$F$8,MATCH(D31,'🧮 Formulas'!$E$6:$E$8,0))</f>
        <v>0.22</v>
      </c>
      <c r="L31" s="52" t="n">
        <f aca="false">J31*K31</f>
        <v>1584</v>
      </c>
      <c r="M31" s="47" t="n">
        <f aca="false">MONTH(B31)</f>
        <v>2</v>
      </c>
      <c r="N31" s="47" t="str">
        <f aca="false">TEXT(B31,"mmm")</f>
        <v>Feb</v>
      </c>
    </row>
    <row r="32" customFormat="false" ht="15" hidden="false" customHeight="false" outlineLevel="0" collapsed="false">
      <c r="A32" s="47" t="s">
        <v>373</v>
      </c>
      <c r="B32" s="51" t="n">
        <v>45699</v>
      </c>
      <c r="C32" s="47" t="s">
        <v>67</v>
      </c>
      <c r="D32" s="47" t="s">
        <v>136</v>
      </c>
      <c r="E32" s="47" t="s">
        <v>184</v>
      </c>
      <c r="F32" s="47" t="s">
        <v>141</v>
      </c>
      <c r="G32" s="47" t="n">
        <v>1</v>
      </c>
      <c r="H32" s="52" t="n">
        <v>1800</v>
      </c>
      <c r="I32" s="49" t="n">
        <v>0</v>
      </c>
      <c r="J32" s="52" t="n">
        <f aca="false">G32*H32*(1-I32)</f>
        <v>1800</v>
      </c>
      <c r="K32" s="49" t="n">
        <f aca="false">INDEX('🧮 Formulas'!$F$6:$F$8,MATCH(D32,'🧮 Formulas'!$E$6:$E$8,0))</f>
        <v>0.22</v>
      </c>
      <c r="L32" s="52" t="n">
        <f aca="false">J32*K32</f>
        <v>396</v>
      </c>
      <c r="M32" s="47" t="n">
        <f aca="false">MONTH(B32)</f>
        <v>2</v>
      </c>
      <c r="N32" s="47" t="str">
        <f aca="false">TEXT(B32,"mmm")</f>
        <v>Feb</v>
      </c>
    </row>
    <row r="33" customFormat="false" ht="15" hidden="false" customHeight="false" outlineLevel="0" collapsed="false">
      <c r="A33" s="47" t="s">
        <v>398</v>
      </c>
      <c r="B33" s="51" t="n">
        <v>45699</v>
      </c>
      <c r="C33" s="47" t="s">
        <v>66</v>
      </c>
      <c r="D33" s="47" t="s">
        <v>128</v>
      </c>
      <c r="E33" s="47" t="s">
        <v>149</v>
      </c>
      <c r="F33" s="47" t="s">
        <v>134</v>
      </c>
      <c r="G33" s="47" t="n">
        <v>7</v>
      </c>
      <c r="H33" s="52" t="n">
        <v>450</v>
      </c>
      <c r="I33" s="49" t="n">
        <v>0.05</v>
      </c>
      <c r="J33" s="52" t="n">
        <f aca="false">G33*H33*(1-I33)</f>
        <v>2992.5</v>
      </c>
      <c r="K33" s="49" t="n">
        <f aca="false">INDEX('🧮 Formulas'!$F$6:$F$8,MATCH(D33,'🧮 Formulas'!$E$6:$E$8,0))</f>
        <v>0.3</v>
      </c>
      <c r="L33" s="52" t="n">
        <f aca="false">J33*K33</f>
        <v>897.75</v>
      </c>
      <c r="M33" s="47" t="n">
        <f aca="false">MONTH(B33)</f>
        <v>2</v>
      </c>
      <c r="N33" s="47" t="str">
        <f aca="false">TEXT(B33,"mmm")</f>
        <v>Feb</v>
      </c>
    </row>
    <row r="34" customFormat="false" ht="15" hidden="false" customHeight="false" outlineLevel="0" collapsed="false">
      <c r="A34" s="47" t="s">
        <v>240</v>
      </c>
      <c r="B34" s="51" t="n">
        <v>45701</v>
      </c>
      <c r="C34" s="47" t="s">
        <v>68</v>
      </c>
      <c r="D34" s="47" t="s">
        <v>124</v>
      </c>
      <c r="E34" s="47" t="s">
        <v>133</v>
      </c>
      <c r="F34" s="47" t="s">
        <v>126</v>
      </c>
      <c r="G34" s="47" t="n">
        <v>1</v>
      </c>
      <c r="H34" s="52" t="n">
        <v>22000</v>
      </c>
      <c r="I34" s="49" t="n">
        <v>0.15</v>
      </c>
      <c r="J34" s="52" t="n">
        <f aca="false">G34*H34*(1-I34)</f>
        <v>18700</v>
      </c>
      <c r="K34" s="49" t="n">
        <f aca="false">INDEX('🧮 Formulas'!$F$6:$F$8,MATCH(D34,'🧮 Formulas'!$E$6:$E$8,0))</f>
        <v>0.18</v>
      </c>
      <c r="L34" s="52" t="n">
        <f aca="false">J34*K34</f>
        <v>3366</v>
      </c>
      <c r="M34" s="47" t="n">
        <f aca="false">MONTH(B34)</f>
        <v>2</v>
      </c>
      <c r="N34" s="47" t="str">
        <f aca="false">TEXT(B34,"mmm")</f>
        <v>Feb</v>
      </c>
    </row>
    <row r="35" customFormat="false" ht="15" hidden="false" customHeight="false" outlineLevel="0" collapsed="false">
      <c r="A35" s="47" t="s">
        <v>270</v>
      </c>
      <c r="B35" s="51" t="n">
        <v>45701</v>
      </c>
      <c r="C35" s="47" t="s">
        <v>67</v>
      </c>
      <c r="D35" s="47" t="s">
        <v>128</v>
      </c>
      <c r="E35" s="47" t="s">
        <v>149</v>
      </c>
      <c r="F35" s="47" t="s">
        <v>141</v>
      </c>
      <c r="G35" s="47" t="n">
        <v>10</v>
      </c>
      <c r="H35" s="52" t="n">
        <v>450</v>
      </c>
      <c r="I35" s="49" t="n">
        <v>0.2</v>
      </c>
      <c r="J35" s="52" t="n">
        <f aca="false">G35*H35*(1-I35)</f>
        <v>3600</v>
      </c>
      <c r="K35" s="49" t="n">
        <f aca="false">INDEX('🧮 Formulas'!$F$6:$F$8,MATCH(D35,'🧮 Formulas'!$E$6:$E$8,0))</f>
        <v>0.3</v>
      </c>
      <c r="L35" s="52" t="n">
        <f aca="false">J35*K35</f>
        <v>1080</v>
      </c>
      <c r="M35" s="47" t="n">
        <f aca="false">MONTH(B35)</f>
        <v>2</v>
      </c>
      <c r="N35" s="47" t="str">
        <f aca="false">TEXT(B35,"mmm")</f>
        <v>Feb</v>
      </c>
    </row>
    <row r="36" customFormat="false" ht="15" hidden="false" customHeight="false" outlineLevel="0" collapsed="false">
      <c r="A36" s="47" t="s">
        <v>384</v>
      </c>
      <c r="B36" s="51" t="n">
        <v>45703</v>
      </c>
      <c r="C36" s="47" t="s">
        <v>67</v>
      </c>
      <c r="D36" s="47" t="s">
        <v>128</v>
      </c>
      <c r="E36" s="47" t="s">
        <v>129</v>
      </c>
      <c r="F36" s="47" t="s">
        <v>134</v>
      </c>
      <c r="G36" s="47" t="n">
        <v>9</v>
      </c>
      <c r="H36" s="52" t="n">
        <v>120</v>
      </c>
      <c r="I36" s="49" t="n">
        <v>0.05</v>
      </c>
      <c r="J36" s="52" t="n">
        <f aca="false">G36*H36*(1-I36)</f>
        <v>1026</v>
      </c>
      <c r="K36" s="49" t="n">
        <f aca="false">INDEX('🧮 Formulas'!$F$6:$F$8,MATCH(D36,'🧮 Formulas'!$E$6:$E$8,0))</f>
        <v>0.3</v>
      </c>
      <c r="L36" s="52" t="n">
        <f aca="false">J36*K36</f>
        <v>307.8</v>
      </c>
      <c r="M36" s="47" t="n">
        <f aca="false">MONTH(B36)</f>
        <v>2</v>
      </c>
      <c r="N36" s="47" t="str">
        <f aca="false">TEXT(B36,"mmm")</f>
        <v>Feb</v>
      </c>
    </row>
    <row r="37" customFormat="false" ht="15" hidden="false" customHeight="false" outlineLevel="0" collapsed="false">
      <c r="A37" s="47" t="s">
        <v>288</v>
      </c>
      <c r="B37" s="51" t="n">
        <v>45703</v>
      </c>
      <c r="C37" s="47" t="s">
        <v>68</v>
      </c>
      <c r="D37" s="47" t="s">
        <v>124</v>
      </c>
      <c r="E37" s="47" t="s">
        <v>146</v>
      </c>
      <c r="F37" s="47" t="s">
        <v>126</v>
      </c>
      <c r="G37" s="47" t="n">
        <v>3</v>
      </c>
      <c r="H37" s="52" t="n">
        <v>14000</v>
      </c>
      <c r="I37" s="49" t="n">
        <v>0</v>
      </c>
      <c r="J37" s="52" t="n">
        <f aca="false">G37*H37*(1-I37)</f>
        <v>42000</v>
      </c>
      <c r="K37" s="49" t="n">
        <f aca="false">INDEX('🧮 Formulas'!$F$6:$F$8,MATCH(D37,'🧮 Formulas'!$E$6:$E$8,0))</f>
        <v>0.18</v>
      </c>
      <c r="L37" s="52" t="n">
        <f aca="false">J37*K37</f>
        <v>7560</v>
      </c>
      <c r="M37" s="47" t="n">
        <f aca="false">MONTH(B37)</f>
        <v>2</v>
      </c>
      <c r="N37" s="47" t="str">
        <f aca="false">TEXT(B37,"mmm")</f>
        <v>Feb</v>
      </c>
    </row>
    <row r="38" customFormat="false" ht="15" hidden="false" customHeight="false" outlineLevel="0" collapsed="false">
      <c r="A38" s="47" t="s">
        <v>268</v>
      </c>
      <c r="B38" s="51" t="n">
        <v>45704</v>
      </c>
      <c r="C38" s="47" t="s">
        <v>67</v>
      </c>
      <c r="D38" s="47" t="s">
        <v>124</v>
      </c>
      <c r="E38" s="47" t="s">
        <v>125</v>
      </c>
      <c r="F38" s="47" t="s">
        <v>134</v>
      </c>
      <c r="G38" s="47" t="n">
        <v>2</v>
      </c>
      <c r="H38" s="52" t="n">
        <v>3500</v>
      </c>
      <c r="I38" s="49" t="n">
        <v>0.2</v>
      </c>
      <c r="J38" s="52" t="n">
        <f aca="false">G38*H38*(1-I38)</f>
        <v>5600</v>
      </c>
      <c r="K38" s="49" t="n">
        <f aca="false">INDEX('🧮 Formulas'!$F$6:$F$8,MATCH(D38,'🧮 Formulas'!$E$6:$E$8,0))</f>
        <v>0.18</v>
      </c>
      <c r="L38" s="52" t="n">
        <f aca="false">J38*K38</f>
        <v>1008</v>
      </c>
      <c r="M38" s="47" t="n">
        <f aca="false">MONTH(B38)</f>
        <v>2</v>
      </c>
      <c r="N38" s="47" t="str">
        <f aca="false">TEXT(B38,"mmm")</f>
        <v>Feb</v>
      </c>
    </row>
    <row r="39" customFormat="false" ht="15" hidden="false" customHeight="false" outlineLevel="0" collapsed="false">
      <c r="A39" s="47" t="s">
        <v>291</v>
      </c>
      <c r="B39" s="51" t="n">
        <v>45705</v>
      </c>
      <c r="C39" s="47" t="s">
        <v>68</v>
      </c>
      <c r="D39" s="47" t="s">
        <v>124</v>
      </c>
      <c r="E39" s="47" t="s">
        <v>125</v>
      </c>
      <c r="F39" s="47" t="s">
        <v>126</v>
      </c>
      <c r="G39" s="47" t="n">
        <v>1</v>
      </c>
      <c r="H39" s="52" t="n">
        <v>3500</v>
      </c>
      <c r="I39" s="49" t="n">
        <v>0.05</v>
      </c>
      <c r="J39" s="52" t="n">
        <f aca="false">G39*H39*(1-I39)</f>
        <v>3325</v>
      </c>
      <c r="K39" s="49" t="n">
        <f aca="false">INDEX('🧮 Formulas'!$F$6:$F$8,MATCH(D39,'🧮 Formulas'!$E$6:$E$8,0))</f>
        <v>0.18</v>
      </c>
      <c r="L39" s="52" t="n">
        <f aca="false">J39*K39</f>
        <v>598.5</v>
      </c>
      <c r="M39" s="47" t="n">
        <f aca="false">MONTH(B39)</f>
        <v>2</v>
      </c>
      <c r="N39" s="47" t="str">
        <f aca="false">TEXT(B39,"mmm")</f>
        <v>Feb</v>
      </c>
    </row>
    <row r="40" customFormat="false" ht="15" hidden="false" customHeight="false" outlineLevel="0" collapsed="false">
      <c r="A40" s="47" t="s">
        <v>312</v>
      </c>
      <c r="B40" s="51" t="n">
        <v>45706</v>
      </c>
      <c r="C40" s="47" t="s">
        <v>67</v>
      </c>
      <c r="D40" s="47" t="s">
        <v>128</v>
      </c>
      <c r="E40" s="47" t="s">
        <v>144</v>
      </c>
      <c r="F40" s="47" t="s">
        <v>134</v>
      </c>
      <c r="G40" s="47" t="n">
        <v>8</v>
      </c>
      <c r="H40" s="52" t="n">
        <v>180</v>
      </c>
      <c r="I40" s="49" t="n">
        <v>0.05</v>
      </c>
      <c r="J40" s="52" t="n">
        <f aca="false">G40*H40*(1-I40)</f>
        <v>1368</v>
      </c>
      <c r="K40" s="49" t="n">
        <f aca="false">INDEX('🧮 Formulas'!$F$6:$F$8,MATCH(D40,'🧮 Formulas'!$E$6:$E$8,0))</f>
        <v>0.3</v>
      </c>
      <c r="L40" s="52" t="n">
        <f aca="false">J40*K40</f>
        <v>410.4</v>
      </c>
      <c r="M40" s="47" t="n">
        <f aca="false">MONTH(B40)</f>
        <v>2</v>
      </c>
      <c r="N40" s="47" t="str">
        <f aca="false">TEXT(B40,"mmm")</f>
        <v>Feb</v>
      </c>
    </row>
    <row r="41" customFormat="false" ht="15" hidden="false" customHeight="false" outlineLevel="0" collapsed="false">
      <c r="A41" s="47" t="s">
        <v>428</v>
      </c>
      <c r="B41" s="51" t="n">
        <v>45707</v>
      </c>
      <c r="C41" s="47" t="s">
        <v>65</v>
      </c>
      <c r="D41" s="47" t="s">
        <v>128</v>
      </c>
      <c r="E41" s="47" t="s">
        <v>149</v>
      </c>
      <c r="F41" s="47" t="s">
        <v>134</v>
      </c>
      <c r="G41" s="47" t="n">
        <v>12</v>
      </c>
      <c r="H41" s="52" t="n">
        <v>450</v>
      </c>
      <c r="I41" s="49" t="n">
        <v>0.1</v>
      </c>
      <c r="J41" s="52" t="n">
        <f aca="false">G41*H41*(1-I41)</f>
        <v>4860</v>
      </c>
      <c r="K41" s="49" t="n">
        <f aca="false">INDEX('🧮 Formulas'!$F$6:$F$8,MATCH(D41,'🧮 Formulas'!$E$6:$E$8,0))</f>
        <v>0.3</v>
      </c>
      <c r="L41" s="52" t="n">
        <f aca="false">J41*K41</f>
        <v>1458</v>
      </c>
      <c r="M41" s="47" t="n">
        <f aca="false">MONTH(B41)</f>
        <v>2</v>
      </c>
      <c r="N41" s="47" t="str">
        <f aca="false">TEXT(B41,"mmm")</f>
        <v>Feb</v>
      </c>
    </row>
    <row r="42" customFormat="false" ht="15" hidden="false" customHeight="false" outlineLevel="0" collapsed="false">
      <c r="A42" s="47" t="s">
        <v>173</v>
      </c>
      <c r="B42" s="51" t="n">
        <v>45707</v>
      </c>
      <c r="C42" s="47" t="s">
        <v>67</v>
      </c>
      <c r="D42" s="47" t="s">
        <v>128</v>
      </c>
      <c r="E42" s="47" t="s">
        <v>129</v>
      </c>
      <c r="F42" s="47" t="s">
        <v>126</v>
      </c>
      <c r="G42" s="47" t="n">
        <v>8</v>
      </c>
      <c r="H42" s="52" t="n">
        <v>120</v>
      </c>
      <c r="I42" s="49" t="n">
        <v>0</v>
      </c>
      <c r="J42" s="52" t="n">
        <f aca="false">G42*H42*(1-I42)</f>
        <v>960</v>
      </c>
      <c r="K42" s="49" t="n">
        <f aca="false">INDEX('🧮 Formulas'!$F$6:$F$8,MATCH(D42,'🧮 Formulas'!$E$6:$E$8,0))</f>
        <v>0.3</v>
      </c>
      <c r="L42" s="52" t="n">
        <f aca="false">J42*K42</f>
        <v>288</v>
      </c>
      <c r="M42" s="47" t="n">
        <f aca="false">MONTH(B42)</f>
        <v>2</v>
      </c>
      <c r="N42" s="47" t="str">
        <f aca="false">TEXT(B42,"mmm")</f>
        <v>Feb</v>
      </c>
    </row>
    <row r="43" customFormat="false" ht="15" hidden="false" customHeight="false" outlineLevel="0" collapsed="false">
      <c r="A43" s="47" t="s">
        <v>195</v>
      </c>
      <c r="B43" s="51" t="n">
        <v>45708</v>
      </c>
      <c r="C43" s="47" t="s">
        <v>68</v>
      </c>
      <c r="D43" s="47" t="s">
        <v>128</v>
      </c>
      <c r="E43" s="47" t="s">
        <v>144</v>
      </c>
      <c r="F43" s="47" t="s">
        <v>141</v>
      </c>
      <c r="G43" s="47" t="n">
        <v>12</v>
      </c>
      <c r="H43" s="52" t="n">
        <v>180</v>
      </c>
      <c r="I43" s="49" t="n">
        <v>0</v>
      </c>
      <c r="J43" s="52" t="n">
        <f aca="false">G43*H43*(1-I43)</f>
        <v>2160</v>
      </c>
      <c r="K43" s="49" t="n">
        <f aca="false">INDEX('🧮 Formulas'!$F$6:$F$8,MATCH(D43,'🧮 Formulas'!$E$6:$E$8,0))</f>
        <v>0.3</v>
      </c>
      <c r="L43" s="52" t="n">
        <f aca="false">J43*K43</f>
        <v>648</v>
      </c>
      <c r="M43" s="47" t="n">
        <f aca="false">MONTH(B43)</f>
        <v>2</v>
      </c>
      <c r="N43" s="47" t="str">
        <f aca="false">TEXT(B43,"mmm")</f>
        <v>Feb</v>
      </c>
    </row>
    <row r="44" customFormat="false" ht="15" hidden="false" customHeight="false" outlineLevel="0" collapsed="false">
      <c r="A44" s="47" t="s">
        <v>219</v>
      </c>
      <c r="B44" s="51" t="n">
        <v>45708</v>
      </c>
      <c r="C44" s="47" t="s">
        <v>67</v>
      </c>
      <c r="D44" s="47" t="s">
        <v>136</v>
      </c>
      <c r="E44" s="47" t="s">
        <v>137</v>
      </c>
      <c r="F44" s="47" t="s">
        <v>141</v>
      </c>
      <c r="G44" s="47" t="n">
        <v>3</v>
      </c>
      <c r="H44" s="52" t="n">
        <v>12000</v>
      </c>
      <c r="I44" s="49" t="n">
        <v>0.2</v>
      </c>
      <c r="J44" s="52" t="n">
        <f aca="false">G44*H44*(1-I44)</f>
        <v>28800</v>
      </c>
      <c r="K44" s="49" t="n">
        <f aca="false">INDEX('🧮 Formulas'!$F$6:$F$8,MATCH(D44,'🧮 Formulas'!$E$6:$E$8,0))</f>
        <v>0.22</v>
      </c>
      <c r="L44" s="52" t="n">
        <f aca="false">J44*K44</f>
        <v>6336</v>
      </c>
      <c r="M44" s="47" t="n">
        <f aca="false">MONTH(B44)</f>
        <v>2</v>
      </c>
      <c r="N44" s="47" t="str">
        <f aca="false">TEXT(B44,"mmm")</f>
        <v>Feb</v>
      </c>
    </row>
    <row r="45" customFormat="false" ht="15" hidden="false" customHeight="false" outlineLevel="0" collapsed="false">
      <c r="A45" s="47" t="s">
        <v>467</v>
      </c>
      <c r="B45" s="51" t="n">
        <v>45710</v>
      </c>
      <c r="C45" s="47" t="s">
        <v>65</v>
      </c>
      <c r="D45" s="47" t="s">
        <v>128</v>
      </c>
      <c r="E45" s="47" t="s">
        <v>155</v>
      </c>
      <c r="F45" s="47" t="s">
        <v>134</v>
      </c>
      <c r="G45" s="47" t="n">
        <v>10</v>
      </c>
      <c r="H45" s="52" t="n">
        <v>250</v>
      </c>
      <c r="I45" s="49" t="n">
        <v>0</v>
      </c>
      <c r="J45" s="52" t="n">
        <f aca="false">G45*H45*(1-I45)</f>
        <v>2500</v>
      </c>
      <c r="K45" s="49" t="n">
        <f aca="false">INDEX('🧮 Formulas'!$F$6:$F$8,MATCH(D45,'🧮 Formulas'!$E$6:$E$8,0))</f>
        <v>0.3</v>
      </c>
      <c r="L45" s="52" t="n">
        <f aca="false">J45*K45</f>
        <v>750</v>
      </c>
      <c r="M45" s="47" t="n">
        <f aca="false">MONTH(B45)</f>
        <v>2</v>
      </c>
      <c r="N45" s="47" t="str">
        <f aca="false">TEXT(B45,"mmm")</f>
        <v>Feb</v>
      </c>
    </row>
    <row r="46" customFormat="false" ht="15" hidden="false" customHeight="false" outlineLevel="0" collapsed="false">
      <c r="A46" s="47" t="s">
        <v>349</v>
      </c>
      <c r="B46" s="51" t="n">
        <v>45715</v>
      </c>
      <c r="C46" s="47" t="s">
        <v>67</v>
      </c>
      <c r="D46" s="47" t="s">
        <v>124</v>
      </c>
      <c r="E46" s="47" t="s">
        <v>125</v>
      </c>
      <c r="F46" s="47" t="s">
        <v>134</v>
      </c>
      <c r="G46" s="47" t="n">
        <v>3</v>
      </c>
      <c r="H46" s="52" t="n">
        <v>3500</v>
      </c>
      <c r="I46" s="49" t="n">
        <v>0</v>
      </c>
      <c r="J46" s="52" t="n">
        <f aca="false">G46*H46*(1-I46)</f>
        <v>10500</v>
      </c>
      <c r="K46" s="49" t="n">
        <f aca="false">INDEX('🧮 Formulas'!$F$6:$F$8,MATCH(D46,'🧮 Formulas'!$E$6:$E$8,0))</f>
        <v>0.18</v>
      </c>
      <c r="L46" s="52" t="n">
        <f aca="false">J46*K46</f>
        <v>1890</v>
      </c>
      <c r="M46" s="47" t="n">
        <f aca="false">MONTH(B46)</f>
        <v>2</v>
      </c>
      <c r="N46" s="47" t="str">
        <f aca="false">TEXT(B46,"mmm")</f>
        <v>Feb</v>
      </c>
    </row>
    <row r="47" customFormat="false" ht="15" hidden="false" customHeight="false" outlineLevel="0" collapsed="false">
      <c r="A47" s="47" t="s">
        <v>445</v>
      </c>
      <c r="B47" s="51" t="n">
        <v>45716</v>
      </c>
      <c r="C47" s="47" t="s">
        <v>66</v>
      </c>
      <c r="D47" s="47" t="s">
        <v>136</v>
      </c>
      <c r="E47" s="47" t="s">
        <v>137</v>
      </c>
      <c r="F47" s="47" t="s">
        <v>141</v>
      </c>
      <c r="G47" s="47" t="n">
        <v>4</v>
      </c>
      <c r="H47" s="52" t="n">
        <v>12000</v>
      </c>
      <c r="I47" s="49" t="n">
        <v>0</v>
      </c>
      <c r="J47" s="52" t="n">
        <f aca="false">G47*H47*(1-I47)</f>
        <v>48000</v>
      </c>
      <c r="K47" s="49" t="n">
        <f aca="false">INDEX('🧮 Formulas'!$F$6:$F$8,MATCH(D47,'🧮 Formulas'!$E$6:$E$8,0))</f>
        <v>0.22</v>
      </c>
      <c r="L47" s="52" t="n">
        <f aca="false">J47*K47</f>
        <v>10560</v>
      </c>
      <c r="M47" s="47" t="n">
        <f aca="false">MONTH(B47)</f>
        <v>2</v>
      </c>
      <c r="N47" s="47" t="str">
        <f aca="false">TEXT(B47,"mmm")</f>
        <v>Feb</v>
      </c>
    </row>
    <row r="48" customFormat="false" ht="15" hidden="false" customHeight="false" outlineLevel="0" collapsed="false">
      <c r="A48" s="47" t="s">
        <v>394</v>
      </c>
      <c r="B48" s="51" t="n">
        <v>45716</v>
      </c>
      <c r="C48" s="47" t="s">
        <v>68</v>
      </c>
      <c r="D48" s="47" t="s">
        <v>136</v>
      </c>
      <c r="E48" s="47" t="s">
        <v>160</v>
      </c>
      <c r="F48" s="47" t="s">
        <v>126</v>
      </c>
      <c r="G48" s="47" t="n">
        <v>2</v>
      </c>
      <c r="H48" s="52" t="n">
        <v>8500</v>
      </c>
      <c r="I48" s="49" t="n">
        <v>0.2</v>
      </c>
      <c r="J48" s="52" t="n">
        <f aca="false">G48*H48*(1-I48)</f>
        <v>13600</v>
      </c>
      <c r="K48" s="49" t="n">
        <f aca="false">INDEX('🧮 Formulas'!$F$6:$F$8,MATCH(D48,'🧮 Formulas'!$E$6:$E$8,0))</f>
        <v>0.22</v>
      </c>
      <c r="L48" s="52" t="n">
        <f aca="false">J48*K48</f>
        <v>2992</v>
      </c>
      <c r="M48" s="47" t="n">
        <f aca="false">MONTH(B48)</f>
        <v>2</v>
      </c>
      <c r="N48" s="47" t="str">
        <f aca="false">TEXT(B48,"mmm")</f>
        <v>Feb</v>
      </c>
    </row>
    <row r="49" customFormat="false" ht="15" hidden="false" customHeight="false" outlineLevel="0" collapsed="false">
      <c r="A49" s="47" t="s">
        <v>461</v>
      </c>
      <c r="B49" s="51" t="n">
        <v>45716</v>
      </c>
      <c r="C49" s="47" t="s">
        <v>68</v>
      </c>
      <c r="D49" s="47" t="s">
        <v>128</v>
      </c>
      <c r="E49" s="47" t="s">
        <v>144</v>
      </c>
      <c r="F49" s="47" t="s">
        <v>126</v>
      </c>
      <c r="G49" s="47" t="n">
        <v>6</v>
      </c>
      <c r="H49" s="52" t="n">
        <v>180</v>
      </c>
      <c r="I49" s="49" t="n">
        <v>0.05</v>
      </c>
      <c r="J49" s="52" t="n">
        <f aca="false">G49*H49*(1-I49)</f>
        <v>1026</v>
      </c>
      <c r="K49" s="49" t="n">
        <f aca="false">INDEX('🧮 Formulas'!$F$6:$F$8,MATCH(D49,'🧮 Formulas'!$E$6:$E$8,0))</f>
        <v>0.3</v>
      </c>
      <c r="L49" s="52" t="n">
        <f aca="false">J49*K49</f>
        <v>307.8</v>
      </c>
      <c r="M49" s="47" t="n">
        <f aca="false">MONTH(B49)</f>
        <v>2</v>
      </c>
      <c r="N49" s="47" t="str">
        <f aca="false">TEXT(B49,"mmm")</f>
        <v>Feb</v>
      </c>
    </row>
    <row r="50" customFormat="false" ht="15" hidden="false" customHeight="false" outlineLevel="0" collapsed="false">
      <c r="A50" s="47" t="s">
        <v>469</v>
      </c>
      <c r="B50" s="51" t="n">
        <v>45717</v>
      </c>
      <c r="C50" s="47" t="s">
        <v>65</v>
      </c>
      <c r="D50" s="47" t="s">
        <v>128</v>
      </c>
      <c r="E50" s="47" t="s">
        <v>155</v>
      </c>
      <c r="F50" s="47" t="s">
        <v>126</v>
      </c>
      <c r="G50" s="47" t="n">
        <v>9</v>
      </c>
      <c r="H50" s="52" t="n">
        <v>250</v>
      </c>
      <c r="I50" s="49" t="n">
        <v>0.15</v>
      </c>
      <c r="J50" s="52" t="n">
        <f aca="false">G50*H50*(1-I50)</f>
        <v>1912.5</v>
      </c>
      <c r="K50" s="49" t="n">
        <f aca="false">INDEX('🧮 Formulas'!$F$6:$F$8,MATCH(D50,'🧮 Formulas'!$E$6:$E$8,0))</f>
        <v>0.3</v>
      </c>
      <c r="L50" s="52" t="n">
        <f aca="false">J50*K50</f>
        <v>573.75</v>
      </c>
      <c r="M50" s="47" t="n">
        <f aca="false">MONTH(B50)</f>
        <v>3</v>
      </c>
      <c r="N50" s="47" t="str">
        <f aca="false">TEXT(B50,"mmm")</f>
        <v>Mar</v>
      </c>
    </row>
    <row r="51" customFormat="false" ht="15" hidden="false" customHeight="false" outlineLevel="0" collapsed="false">
      <c r="A51" s="47" t="s">
        <v>421</v>
      </c>
      <c r="B51" s="51" t="n">
        <v>45719</v>
      </c>
      <c r="C51" s="47" t="s">
        <v>66</v>
      </c>
      <c r="D51" s="47" t="s">
        <v>136</v>
      </c>
      <c r="E51" s="47" t="s">
        <v>137</v>
      </c>
      <c r="F51" s="47" t="s">
        <v>141</v>
      </c>
      <c r="G51" s="47" t="n">
        <v>4</v>
      </c>
      <c r="H51" s="52" t="n">
        <v>12000</v>
      </c>
      <c r="I51" s="49" t="n">
        <v>0.15</v>
      </c>
      <c r="J51" s="52" t="n">
        <f aca="false">G51*H51*(1-I51)</f>
        <v>40800</v>
      </c>
      <c r="K51" s="49" t="n">
        <f aca="false">INDEX('🧮 Formulas'!$F$6:$F$8,MATCH(D51,'🧮 Formulas'!$E$6:$E$8,0))</f>
        <v>0.22</v>
      </c>
      <c r="L51" s="52" t="n">
        <f aca="false">J51*K51</f>
        <v>8976</v>
      </c>
      <c r="M51" s="47" t="n">
        <f aca="false">MONTH(B51)</f>
        <v>3</v>
      </c>
      <c r="N51" s="47" t="str">
        <f aca="false">TEXT(B51,"mmm")</f>
        <v>Mar</v>
      </c>
    </row>
    <row r="52" customFormat="false" ht="15" hidden="false" customHeight="false" outlineLevel="0" collapsed="false">
      <c r="A52" s="47" t="s">
        <v>416</v>
      </c>
      <c r="B52" s="51" t="n">
        <v>45719</v>
      </c>
      <c r="C52" s="47" t="s">
        <v>66</v>
      </c>
      <c r="D52" s="47" t="s">
        <v>124</v>
      </c>
      <c r="E52" s="47" t="s">
        <v>133</v>
      </c>
      <c r="F52" s="47" t="s">
        <v>126</v>
      </c>
      <c r="G52" s="47" t="n">
        <v>3</v>
      </c>
      <c r="H52" s="52" t="n">
        <v>22000</v>
      </c>
      <c r="I52" s="49" t="n">
        <v>0</v>
      </c>
      <c r="J52" s="52" t="n">
        <f aca="false">G52*H52*(1-I52)</f>
        <v>66000</v>
      </c>
      <c r="K52" s="49" t="n">
        <f aca="false">INDEX('🧮 Formulas'!$F$6:$F$8,MATCH(D52,'🧮 Formulas'!$E$6:$E$8,0))</f>
        <v>0.18</v>
      </c>
      <c r="L52" s="52" t="n">
        <f aca="false">J52*K52</f>
        <v>11880</v>
      </c>
      <c r="M52" s="47" t="n">
        <f aca="false">MONTH(B52)</f>
        <v>3</v>
      </c>
      <c r="N52" s="47" t="str">
        <f aca="false">TEXT(B52,"mmm")</f>
        <v>Mar</v>
      </c>
    </row>
    <row r="53" customFormat="false" ht="15" hidden="false" customHeight="false" outlineLevel="0" collapsed="false">
      <c r="A53" s="47" t="s">
        <v>331</v>
      </c>
      <c r="B53" s="51" t="n">
        <v>45720</v>
      </c>
      <c r="C53" s="47" t="s">
        <v>67</v>
      </c>
      <c r="D53" s="47" t="s">
        <v>124</v>
      </c>
      <c r="E53" s="47" t="s">
        <v>133</v>
      </c>
      <c r="F53" s="47" t="s">
        <v>134</v>
      </c>
      <c r="G53" s="47" t="n">
        <v>4</v>
      </c>
      <c r="H53" s="52" t="n">
        <v>22000</v>
      </c>
      <c r="I53" s="49" t="n">
        <v>0</v>
      </c>
      <c r="J53" s="52" t="n">
        <f aca="false">G53*H53*(1-I53)</f>
        <v>88000</v>
      </c>
      <c r="K53" s="49" t="n">
        <f aca="false">INDEX('🧮 Formulas'!$F$6:$F$8,MATCH(D53,'🧮 Formulas'!$E$6:$E$8,0))</f>
        <v>0.18</v>
      </c>
      <c r="L53" s="52" t="n">
        <f aca="false">J53*K53</f>
        <v>15840</v>
      </c>
      <c r="M53" s="47" t="n">
        <f aca="false">MONTH(B53)</f>
        <v>3</v>
      </c>
      <c r="N53" s="47" t="str">
        <f aca="false">TEXT(B53,"mmm")</f>
        <v>Mar</v>
      </c>
    </row>
    <row r="54" customFormat="false" ht="15" hidden="false" customHeight="false" outlineLevel="0" collapsed="false">
      <c r="A54" s="47" t="s">
        <v>422</v>
      </c>
      <c r="B54" s="51" t="n">
        <v>45721</v>
      </c>
      <c r="C54" s="47" t="s">
        <v>68</v>
      </c>
      <c r="D54" s="47" t="s">
        <v>128</v>
      </c>
      <c r="E54" s="47" t="s">
        <v>155</v>
      </c>
      <c r="F54" s="47" t="s">
        <v>141</v>
      </c>
      <c r="G54" s="47" t="n">
        <v>10</v>
      </c>
      <c r="H54" s="52" t="n">
        <v>250</v>
      </c>
      <c r="I54" s="49" t="n">
        <v>0.05</v>
      </c>
      <c r="J54" s="52" t="n">
        <f aca="false">G54*H54*(1-I54)</f>
        <v>2375</v>
      </c>
      <c r="K54" s="49" t="n">
        <f aca="false">INDEX('🧮 Formulas'!$F$6:$F$8,MATCH(D54,'🧮 Formulas'!$E$6:$E$8,0))</f>
        <v>0.3</v>
      </c>
      <c r="L54" s="52" t="n">
        <f aca="false">J54*K54</f>
        <v>712.5</v>
      </c>
      <c r="M54" s="47" t="n">
        <f aca="false">MONTH(B54)</f>
        <v>3</v>
      </c>
      <c r="N54" s="47" t="str">
        <f aca="false">TEXT(B54,"mmm")</f>
        <v>Mar</v>
      </c>
    </row>
    <row r="55" customFormat="false" ht="15" hidden="false" customHeight="false" outlineLevel="0" collapsed="false">
      <c r="A55" s="47" t="s">
        <v>354</v>
      </c>
      <c r="B55" s="51" t="n">
        <v>45723</v>
      </c>
      <c r="C55" s="47" t="s">
        <v>66</v>
      </c>
      <c r="D55" s="47" t="s">
        <v>136</v>
      </c>
      <c r="E55" s="47" t="s">
        <v>139</v>
      </c>
      <c r="F55" s="47" t="s">
        <v>134</v>
      </c>
      <c r="G55" s="47" t="n">
        <v>4</v>
      </c>
      <c r="H55" s="52" t="n">
        <v>6500</v>
      </c>
      <c r="I55" s="49" t="n">
        <v>0.2</v>
      </c>
      <c r="J55" s="52" t="n">
        <f aca="false">G55*H55*(1-I55)</f>
        <v>20800</v>
      </c>
      <c r="K55" s="49" t="n">
        <f aca="false">INDEX('🧮 Formulas'!$F$6:$F$8,MATCH(D55,'🧮 Formulas'!$E$6:$E$8,0))</f>
        <v>0.22</v>
      </c>
      <c r="L55" s="52" t="n">
        <f aca="false">J55*K55</f>
        <v>4576</v>
      </c>
      <c r="M55" s="47" t="n">
        <f aca="false">MONTH(B55)</f>
        <v>3</v>
      </c>
      <c r="N55" s="47" t="str">
        <f aca="false">TEXT(B55,"mmm")</f>
        <v>Mar</v>
      </c>
    </row>
    <row r="56" customFormat="false" ht="15" hidden="false" customHeight="false" outlineLevel="0" collapsed="false">
      <c r="A56" s="47" t="s">
        <v>281</v>
      </c>
      <c r="B56" s="51" t="n">
        <v>45724</v>
      </c>
      <c r="C56" s="47" t="s">
        <v>68</v>
      </c>
      <c r="D56" s="47" t="s">
        <v>124</v>
      </c>
      <c r="E56" s="47" t="s">
        <v>146</v>
      </c>
      <c r="F56" s="47" t="s">
        <v>141</v>
      </c>
      <c r="G56" s="47" t="n">
        <v>2</v>
      </c>
      <c r="H56" s="52" t="n">
        <v>14000</v>
      </c>
      <c r="I56" s="49" t="n">
        <v>0.2</v>
      </c>
      <c r="J56" s="52" t="n">
        <f aca="false">G56*H56*(1-I56)</f>
        <v>22400</v>
      </c>
      <c r="K56" s="49" t="n">
        <f aca="false">INDEX('🧮 Formulas'!$F$6:$F$8,MATCH(D56,'🧮 Formulas'!$E$6:$E$8,0))</f>
        <v>0.18</v>
      </c>
      <c r="L56" s="52" t="n">
        <f aca="false">J56*K56</f>
        <v>4032</v>
      </c>
      <c r="M56" s="47" t="n">
        <f aca="false">MONTH(B56)</f>
        <v>3</v>
      </c>
      <c r="N56" s="47" t="str">
        <f aca="false">TEXT(B56,"mmm")</f>
        <v>Mar</v>
      </c>
    </row>
    <row r="57" customFormat="false" ht="15" hidden="false" customHeight="false" outlineLevel="0" collapsed="false">
      <c r="A57" s="47" t="s">
        <v>264</v>
      </c>
      <c r="B57" s="51" t="n">
        <v>45724</v>
      </c>
      <c r="C57" s="47" t="s">
        <v>67</v>
      </c>
      <c r="D57" s="47" t="s">
        <v>128</v>
      </c>
      <c r="E57" s="47" t="s">
        <v>155</v>
      </c>
      <c r="F57" s="47" t="s">
        <v>141</v>
      </c>
      <c r="G57" s="47" t="n">
        <v>8</v>
      </c>
      <c r="H57" s="52" t="n">
        <v>250</v>
      </c>
      <c r="I57" s="49" t="n">
        <v>0.15</v>
      </c>
      <c r="J57" s="52" t="n">
        <f aca="false">G57*H57*(1-I57)</f>
        <v>1700</v>
      </c>
      <c r="K57" s="49" t="n">
        <f aca="false">INDEX('🧮 Formulas'!$F$6:$F$8,MATCH(D57,'🧮 Formulas'!$E$6:$E$8,0))</f>
        <v>0.3</v>
      </c>
      <c r="L57" s="52" t="n">
        <f aca="false">J57*K57</f>
        <v>510</v>
      </c>
      <c r="M57" s="47" t="n">
        <f aca="false">MONTH(B57)</f>
        <v>3</v>
      </c>
      <c r="N57" s="47" t="str">
        <f aca="false">TEXT(B57,"mmm")</f>
        <v>Mar</v>
      </c>
    </row>
    <row r="58" customFormat="false" ht="15" hidden="false" customHeight="false" outlineLevel="0" collapsed="false">
      <c r="A58" s="47" t="s">
        <v>473</v>
      </c>
      <c r="B58" s="51" t="n">
        <v>45729</v>
      </c>
      <c r="C58" s="47" t="s">
        <v>68</v>
      </c>
      <c r="D58" s="47" t="s">
        <v>128</v>
      </c>
      <c r="E58" s="47" t="s">
        <v>144</v>
      </c>
      <c r="F58" s="47" t="s">
        <v>134</v>
      </c>
      <c r="G58" s="47" t="n">
        <v>13</v>
      </c>
      <c r="H58" s="52" t="n">
        <v>180</v>
      </c>
      <c r="I58" s="49" t="n">
        <v>0</v>
      </c>
      <c r="J58" s="52" t="n">
        <f aca="false">G58*H58*(1-I58)</f>
        <v>2340</v>
      </c>
      <c r="K58" s="49" t="n">
        <f aca="false">INDEX('🧮 Formulas'!$F$6:$F$8,MATCH(D58,'🧮 Formulas'!$E$6:$E$8,0))</f>
        <v>0.3</v>
      </c>
      <c r="L58" s="52" t="n">
        <f aca="false">J58*K58</f>
        <v>702</v>
      </c>
      <c r="M58" s="47" t="n">
        <f aca="false">MONTH(B58)</f>
        <v>3</v>
      </c>
      <c r="N58" s="47" t="str">
        <f aca="false">TEXT(B58,"mmm")</f>
        <v>Mar</v>
      </c>
    </row>
    <row r="59" customFormat="false" ht="15" hidden="false" customHeight="false" outlineLevel="0" collapsed="false">
      <c r="A59" s="47" t="s">
        <v>446</v>
      </c>
      <c r="B59" s="51" t="n">
        <v>45730</v>
      </c>
      <c r="C59" s="47" t="s">
        <v>65</v>
      </c>
      <c r="D59" s="47" t="s">
        <v>136</v>
      </c>
      <c r="E59" s="47" t="s">
        <v>184</v>
      </c>
      <c r="F59" s="47" t="s">
        <v>126</v>
      </c>
      <c r="G59" s="47" t="n">
        <v>1</v>
      </c>
      <c r="H59" s="52" t="n">
        <v>1800</v>
      </c>
      <c r="I59" s="49" t="n">
        <v>0.2</v>
      </c>
      <c r="J59" s="52" t="n">
        <f aca="false">G59*H59*(1-I59)</f>
        <v>1440</v>
      </c>
      <c r="K59" s="49" t="n">
        <f aca="false">INDEX('🧮 Formulas'!$F$6:$F$8,MATCH(D59,'🧮 Formulas'!$E$6:$E$8,0))</f>
        <v>0.22</v>
      </c>
      <c r="L59" s="52" t="n">
        <f aca="false">J59*K59</f>
        <v>316.8</v>
      </c>
      <c r="M59" s="47" t="n">
        <f aca="false">MONTH(B59)</f>
        <v>3</v>
      </c>
      <c r="N59" s="47" t="str">
        <f aca="false">TEXT(B59,"mmm")</f>
        <v>Mar</v>
      </c>
    </row>
    <row r="60" customFormat="false" ht="15" hidden="false" customHeight="false" outlineLevel="0" collapsed="false">
      <c r="A60" s="47" t="s">
        <v>401</v>
      </c>
      <c r="B60" s="51" t="n">
        <v>45731</v>
      </c>
      <c r="C60" s="47" t="s">
        <v>67</v>
      </c>
      <c r="D60" s="47" t="s">
        <v>136</v>
      </c>
      <c r="E60" s="47" t="s">
        <v>137</v>
      </c>
      <c r="F60" s="47" t="s">
        <v>134</v>
      </c>
      <c r="G60" s="47" t="n">
        <v>6</v>
      </c>
      <c r="H60" s="52" t="n">
        <v>12000</v>
      </c>
      <c r="I60" s="49" t="n">
        <v>0</v>
      </c>
      <c r="J60" s="52" t="n">
        <f aca="false">G60*H60*(1-I60)</f>
        <v>72000</v>
      </c>
      <c r="K60" s="49" t="n">
        <f aca="false">INDEX('🧮 Formulas'!$F$6:$F$8,MATCH(D60,'🧮 Formulas'!$E$6:$E$8,0))</f>
        <v>0.22</v>
      </c>
      <c r="L60" s="52" t="n">
        <f aca="false">J60*K60</f>
        <v>15840</v>
      </c>
      <c r="M60" s="47" t="n">
        <f aca="false">MONTH(B60)</f>
        <v>3</v>
      </c>
      <c r="N60" s="47" t="str">
        <f aca="false">TEXT(B60,"mmm")</f>
        <v>Mar</v>
      </c>
    </row>
    <row r="61" customFormat="false" ht="15" hidden="false" customHeight="false" outlineLevel="0" collapsed="false">
      <c r="A61" s="47" t="s">
        <v>218</v>
      </c>
      <c r="B61" s="51" t="n">
        <v>45731</v>
      </c>
      <c r="C61" s="47" t="s">
        <v>68</v>
      </c>
      <c r="D61" s="47" t="s">
        <v>128</v>
      </c>
      <c r="E61" s="47" t="s">
        <v>149</v>
      </c>
      <c r="F61" s="47" t="s">
        <v>126</v>
      </c>
      <c r="G61" s="47" t="n">
        <v>2</v>
      </c>
      <c r="H61" s="52" t="n">
        <v>450</v>
      </c>
      <c r="I61" s="49" t="n">
        <v>0</v>
      </c>
      <c r="J61" s="52" t="n">
        <f aca="false">G61*H61*(1-I61)</f>
        <v>900</v>
      </c>
      <c r="K61" s="49" t="n">
        <f aca="false">INDEX('🧮 Formulas'!$F$6:$F$8,MATCH(D61,'🧮 Formulas'!$E$6:$E$8,0))</f>
        <v>0.3</v>
      </c>
      <c r="L61" s="52" t="n">
        <f aca="false">J61*K61</f>
        <v>270</v>
      </c>
      <c r="M61" s="47" t="n">
        <f aca="false">MONTH(B61)</f>
        <v>3</v>
      </c>
      <c r="N61" s="47" t="str">
        <f aca="false">TEXT(B61,"mmm")</f>
        <v>Mar</v>
      </c>
    </row>
    <row r="62" customFormat="false" ht="15" hidden="false" customHeight="false" outlineLevel="0" collapsed="false">
      <c r="A62" s="47" t="s">
        <v>212</v>
      </c>
      <c r="B62" s="51" t="n">
        <v>45731</v>
      </c>
      <c r="C62" s="47" t="s">
        <v>67</v>
      </c>
      <c r="D62" s="47" t="s">
        <v>136</v>
      </c>
      <c r="E62" s="47" t="s">
        <v>139</v>
      </c>
      <c r="F62" s="47" t="s">
        <v>141</v>
      </c>
      <c r="G62" s="47" t="n">
        <v>5</v>
      </c>
      <c r="H62" s="52" t="n">
        <v>6500</v>
      </c>
      <c r="I62" s="49" t="n">
        <v>0.05</v>
      </c>
      <c r="J62" s="52" t="n">
        <f aca="false">G62*H62*(1-I62)</f>
        <v>30875</v>
      </c>
      <c r="K62" s="49" t="n">
        <f aca="false">INDEX('🧮 Formulas'!$F$6:$F$8,MATCH(D62,'🧮 Formulas'!$E$6:$E$8,0))</f>
        <v>0.22</v>
      </c>
      <c r="L62" s="52" t="n">
        <f aca="false">J62*K62</f>
        <v>6792.5</v>
      </c>
      <c r="M62" s="47" t="n">
        <f aca="false">MONTH(B62)</f>
        <v>3</v>
      </c>
      <c r="N62" s="47" t="str">
        <f aca="false">TEXT(B62,"mmm")</f>
        <v>Mar</v>
      </c>
    </row>
    <row r="63" customFormat="false" ht="15" hidden="false" customHeight="false" outlineLevel="0" collapsed="false">
      <c r="A63" s="47" t="s">
        <v>433</v>
      </c>
      <c r="B63" s="51" t="n">
        <v>45732</v>
      </c>
      <c r="C63" s="47" t="s">
        <v>66</v>
      </c>
      <c r="D63" s="47" t="s">
        <v>124</v>
      </c>
      <c r="E63" s="47" t="s">
        <v>131</v>
      </c>
      <c r="F63" s="47" t="s">
        <v>126</v>
      </c>
      <c r="G63" s="47" t="n">
        <v>2</v>
      </c>
      <c r="H63" s="52" t="n">
        <v>55000</v>
      </c>
      <c r="I63" s="49" t="n">
        <v>0.05</v>
      </c>
      <c r="J63" s="52" t="n">
        <f aca="false">G63*H63*(1-I63)</f>
        <v>104500</v>
      </c>
      <c r="K63" s="49" t="n">
        <f aca="false">INDEX('🧮 Formulas'!$F$6:$F$8,MATCH(D63,'🧮 Formulas'!$E$6:$E$8,0))</f>
        <v>0.18</v>
      </c>
      <c r="L63" s="52" t="n">
        <f aca="false">J63*K63</f>
        <v>18810</v>
      </c>
      <c r="M63" s="47" t="n">
        <f aca="false">MONTH(B63)</f>
        <v>3</v>
      </c>
      <c r="N63" s="47" t="str">
        <f aca="false">TEXT(B63,"mmm")</f>
        <v>Mar</v>
      </c>
    </row>
    <row r="64" customFormat="false" ht="15" hidden="false" customHeight="false" outlineLevel="0" collapsed="false">
      <c r="A64" s="47" t="s">
        <v>472</v>
      </c>
      <c r="B64" s="51" t="n">
        <v>45734</v>
      </c>
      <c r="C64" s="47" t="s">
        <v>68</v>
      </c>
      <c r="D64" s="47" t="s">
        <v>128</v>
      </c>
      <c r="E64" s="47" t="s">
        <v>144</v>
      </c>
      <c r="F64" s="47" t="s">
        <v>141</v>
      </c>
      <c r="G64" s="47" t="n">
        <v>15</v>
      </c>
      <c r="H64" s="52" t="n">
        <v>180</v>
      </c>
      <c r="I64" s="49" t="n">
        <v>0.1</v>
      </c>
      <c r="J64" s="52" t="n">
        <f aca="false">G64*H64*(1-I64)</f>
        <v>2430</v>
      </c>
      <c r="K64" s="49" t="n">
        <f aca="false">INDEX('🧮 Formulas'!$F$6:$F$8,MATCH(D64,'🧮 Formulas'!$E$6:$E$8,0))</f>
        <v>0.3</v>
      </c>
      <c r="L64" s="52" t="n">
        <f aca="false">J64*K64</f>
        <v>729</v>
      </c>
      <c r="M64" s="47" t="n">
        <f aca="false">MONTH(B64)</f>
        <v>3</v>
      </c>
      <c r="N64" s="47" t="str">
        <f aca="false">TEXT(B64,"mmm")</f>
        <v>Mar</v>
      </c>
    </row>
    <row r="65" customFormat="false" ht="15" hidden="false" customHeight="false" outlineLevel="0" collapsed="false">
      <c r="A65" s="47" t="s">
        <v>326</v>
      </c>
      <c r="B65" s="51" t="n">
        <v>45736</v>
      </c>
      <c r="C65" s="47" t="s">
        <v>68</v>
      </c>
      <c r="D65" s="47" t="s">
        <v>128</v>
      </c>
      <c r="E65" s="47" t="s">
        <v>144</v>
      </c>
      <c r="F65" s="47" t="s">
        <v>126</v>
      </c>
      <c r="G65" s="47" t="n">
        <v>13</v>
      </c>
      <c r="H65" s="52" t="n">
        <v>180</v>
      </c>
      <c r="I65" s="49" t="n">
        <v>0.2</v>
      </c>
      <c r="J65" s="52" t="n">
        <f aca="false">G65*H65*(1-I65)</f>
        <v>1872</v>
      </c>
      <c r="K65" s="49" t="n">
        <f aca="false">INDEX('🧮 Formulas'!$F$6:$F$8,MATCH(D65,'🧮 Formulas'!$E$6:$E$8,0))</f>
        <v>0.3</v>
      </c>
      <c r="L65" s="52" t="n">
        <f aca="false">J65*K65</f>
        <v>561.6</v>
      </c>
      <c r="M65" s="47" t="n">
        <f aca="false">MONTH(B65)</f>
        <v>3</v>
      </c>
      <c r="N65" s="47" t="str">
        <f aca="false">TEXT(B65,"mmm")</f>
        <v>Mar</v>
      </c>
    </row>
    <row r="66" customFormat="false" ht="15" hidden="false" customHeight="false" outlineLevel="0" collapsed="false">
      <c r="A66" s="47" t="s">
        <v>438</v>
      </c>
      <c r="B66" s="51" t="n">
        <v>45738</v>
      </c>
      <c r="C66" s="47" t="s">
        <v>68</v>
      </c>
      <c r="D66" s="47" t="s">
        <v>124</v>
      </c>
      <c r="E66" s="47" t="s">
        <v>131</v>
      </c>
      <c r="F66" s="47" t="s">
        <v>134</v>
      </c>
      <c r="G66" s="47" t="n">
        <v>1</v>
      </c>
      <c r="H66" s="52" t="n">
        <v>55000</v>
      </c>
      <c r="I66" s="49" t="n">
        <v>0.1</v>
      </c>
      <c r="J66" s="52" t="n">
        <f aca="false">G66*H66*(1-I66)</f>
        <v>49500</v>
      </c>
      <c r="K66" s="49" t="n">
        <f aca="false">INDEX('🧮 Formulas'!$F$6:$F$8,MATCH(D66,'🧮 Formulas'!$E$6:$E$8,0))</f>
        <v>0.18</v>
      </c>
      <c r="L66" s="52" t="n">
        <f aca="false">J66*K66</f>
        <v>8910</v>
      </c>
      <c r="M66" s="47" t="n">
        <f aca="false">MONTH(B66)</f>
        <v>3</v>
      </c>
      <c r="N66" s="47" t="str">
        <f aca="false">TEXT(B66,"mmm")</f>
        <v>Mar</v>
      </c>
    </row>
    <row r="67" customFormat="false" ht="15" hidden="false" customHeight="false" outlineLevel="0" collapsed="false">
      <c r="A67" s="47" t="s">
        <v>447</v>
      </c>
      <c r="B67" s="51" t="n">
        <v>45739</v>
      </c>
      <c r="C67" s="47" t="s">
        <v>67</v>
      </c>
      <c r="D67" s="47" t="s">
        <v>128</v>
      </c>
      <c r="E67" s="47" t="s">
        <v>149</v>
      </c>
      <c r="F67" s="47" t="s">
        <v>141</v>
      </c>
      <c r="G67" s="47" t="n">
        <v>13</v>
      </c>
      <c r="H67" s="52" t="n">
        <v>450</v>
      </c>
      <c r="I67" s="49" t="n">
        <v>0</v>
      </c>
      <c r="J67" s="52" t="n">
        <f aca="false">G67*H67*(1-I67)</f>
        <v>5850</v>
      </c>
      <c r="K67" s="49" t="n">
        <f aca="false">INDEX('🧮 Formulas'!$F$6:$F$8,MATCH(D67,'🧮 Formulas'!$E$6:$E$8,0))</f>
        <v>0.3</v>
      </c>
      <c r="L67" s="52" t="n">
        <f aca="false">J67*K67</f>
        <v>1755</v>
      </c>
      <c r="M67" s="47" t="n">
        <f aca="false">MONTH(B67)</f>
        <v>3</v>
      </c>
      <c r="N67" s="47" t="str">
        <f aca="false">TEXT(B67,"mmm")</f>
        <v>Mar</v>
      </c>
    </row>
    <row r="68" customFormat="false" ht="15" hidden="false" customHeight="false" outlineLevel="0" collapsed="false">
      <c r="A68" s="47" t="s">
        <v>242</v>
      </c>
      <c r="B68" s="51" t="n">
        <v>45739</v>
      </c>
      <c r="C68" s="47" t="s">
        <v>68</v>
      </c>
      <c r="D68" s="47" t="s">
        <v>128</v>
      </c>
      <c r="E68" s="47" t="s">
        <v>155</v>
      </c>
      <c r="F68" s="47" t="s">
        <v>141</v>
      </c>
      <c r="G68" s="47" t="n">
        <v>5</v>
      </c>
      <c r="H68" s="52" t="n">
        <v>250</v>
      </c>
      <c r="I68" s="49" t="n">
        <v>0.1</v>
      </c>
      <c r="J68" s="52" t="n">
        <f aca="false">G68*H68*(1-I68)</f>
        <v>1125</v>
      </c>
      <c r="K68" s="49" t="n">
        <f aca="false">INDEX('🧮 Formulas'!$F$6:$F$8,MATCH(D68,'🧮 Formulas'!$E$6:$E$8,0))</f>
        <v>0.3</v>
      </c>
      <c r="L68" s="52" t="n">
        <f aca="false">J68*K68</f>
        <v>337.5</v>
      </c>
      <c r="M68" s="47" t="n">
        <f aca="false">MONTH(B68)</f>
        <v>3</v>
      </c>
      <c r="N68" s="47" t="str">
        <f aca="false">TEXT(B68,"mmm")</f>
        <v>Mar</v>
      </c>
    </row>
    <row r="69" customFormat="false" ht="15" hidden="false" customHeight="false" outlineLevel="0" collapsed="false">
      <c r="A69" s="47" t="s">
        <v>244</v>
      </c>
      <c r="B69" s="51" t="n">
        <v>45742</v>
      </c>
      <c r="C69" s="47" t="s">
        <v>68</v>
      </c>
      <c r="D69" s="47" t="s">
        <v>136</v>
      </c>
      <c r="E69" s="47" t="s">
        <v>184</v>
      </c>
      <c r="F69" s="47" t="s">
        <v>126</v>
      </c>
      <c r="G69" s="47" t="n">
        <v>1</v>
      </c>
      <c r="H69" s="52" t="n">
        <v>1800</v>
      </c>
      <c r="I69" s="49" t="n">
        <v>0</v>
      </c>
      <c r="J69" s="52" t="n">
        <f aca="false">G69*H69*(1-I69)</f>
        <v>1800</v>
      </c>
      <c r="K69" s="49" t="n">
        <f aca="false">INDEX('🧮 Formulas'!$F$6:$F$8,MATCH(D69,'🧮 Formulas'!$E$6:$E$8,0))</f>
        <v>0.22</v>
      </c>
      <c r="L69" s="52" t="n">
        <f aca="false">J69*K69</f>
        <v>396</v>
      </c>
      <c r="M69" s="47" t="n">
        <f aca="false">MONTH(B69)</f>
        <v>3</v>
      </c>
      <c r="N69" s="47" t="str">
        <f aca="false">TEXT(B69,"mmm")</f>
        <v>Mar</v>
      </c>
    </row>
    <row r="70" customFormat="false" ht="15" hidden="false" customHeight="false" outlineLevel="0" collapsed="false">
      <c r="A70" s="47" t="s">
        <v>248</v>
      </c>
      <c r="B70" s="51" t="n">
        <v>45742</v>
      </c>
      <c r="C70" s="47" t="s">
        <v>68</v>
      </c>
      <c r="D70" s="47" t="s">
        <v>124</v>
      </c>
      <c r="E70" s="47" t="s">
        <v>125</v>
      </c>
      <c r="F70" s="47" t="s">
        <v>126</v>
      </c>
      <c r="G70" s="47" t="n">
        <v>4</v>
      </c>
      <c r="H70" s="52" t="n">
        <v>3500</v>
      </c>
      <c r="I70" s="49" t="n">
        <v>0.15</v>
      </c>
      <c r="J70" s="52" t="n">
        <f aca="false">G70*H70*(1-I70)</f>
        <v>11900</v>
      </c>
      <c r="K70" s="49" t="n">
        <f aca="false">INDEX('🧮 Formulas'!$F$6:$F$8,MATCH(D70,'🧮 Formulas'!$E$6:$E$8,0))</f>
        <v>0.18</v>
      </c>
      <c r="L70" s="52" t="n">
        <f aca="false">J70*K70</f>
        <v>2142</v>
      </c>
      <c r="M70" s="47" t="n">
        <f aca="false">MONTH(B70)</f>
        <v>3</v>
      </c>
      <c r="N70" s="47" t="str">
        <f aca="false">TEXT(B70,"mmm")</f>
        <v>Mar</v>
      </c>
    </row>
    <row r="71" customFormat="false" ht="15" hidden="false" customHeight="false" outlineLevel="0" collapsed="false">
      <c r="A71" s="47" t="s">
        <v>180</v>
      </c>
      <c r="B71" s="51" t="n">
        <v>45743</v>
      </c>
      <c r="C71" s="47" t="s">
        <v>65</v>
      </c>
      <c r="D71" s="47" t="s">
        <v>136</v>
      </c>
      <c r="E71" s="47" t="s">
        <v>139</v>
      </c>
      <c r="F71" s="47" t="s">
        <v>126</v>
      </c>
      <c r="G71" s="47" t="n">
        <v>3</v>
      </c>
      <c r="H71" s="52" t="n">
        <v>6500</v>
      </c>
      <c r="I71" s="49" t="n">
        <v>0.05</v>
      </c>
      <c r="J71" s="52" t="n">
        <f aca="false">G71*H71*(1-I71)</f>
        <v>18525</v>
      </c>
      <c r="K71" s="49" t="n">
        <f aca="false">INDEX('🧮 Formulas'!$F$6:$F$8,MATCH(D71,'🧮 Formulas'!$E$6:$E$8,0))</f>
        <v>0.22</v>
      </c>
      <c r="L71" s="52" t="n">
        <f aca="false">J71*K71</f>
        <v>4075.5</v>
      </c>
      <c r="M71" s="47" t="n">
        <f aca="false">MONTH(B71)</f>
        <v>3</v>
      </c>
      <c r="N71" s="47" t="str">
        <f aca="false">TEXT(B71,"mmm")</f>
        <v>Mar</v>
      </c>
    </row>
    <row r="72" customFormat="false" ht="15" hidden="false" customHeight="false" outlineLevel="0" collapsed="false">
      <c r="A72" s="47" t="s">
        <v>238</v>
      </c>
      <c r="B72" s="51" t="n">
        <v>45748</v>
      </c>
      <c r="C72" s="47" t="s">
        <v>68</v>
      </c>
      <c r="D72" s="47" t="s">
        <v>124</v>
      </c>
      <c r="E72" s="47" t="s">
        <v>133</v>
      </c>
      <c r="F72" s="47" t="s">
        <v>126</v>
      </c>
      <c r="G72" s="47" t="n">
        <v>2</v>
      </c>
      <c r="H72" s="52" t="n">
        <v>22000</v>
      </c>
      <c r="I72" s="49" t="n">
        <v>0</v>
      </c>
      <c r="J72" s="52" t="n">
        <f aca="false">G72*H72*(1-I72)</f>
        <v>44000</v>
      </c>
      <c r="K72" s="49" t="n">
        <f aca="false">INDEX('🧮 Formulas'!$F$6:$F$8,MATCH(D72,'🧮 Formulas'!$E$6:$E$8,0))</f>
        <v>0.18</v>
      </c>
      <c r="L72" s="52" t="n">
        <f aca="false">J72*K72</f>
        <v>7920</v>
      </c>
      <c r="M72" s="47" t="n">
        <f aca="false">MONTH(B72)</f>
        <v>4</v>
      </c>
      <c r="N72" s="47" t="str">
        <f aca="false">TEXT(B72,"mmm")</f>
        <v>Apr</v>
      </c>
    </row>
    <row r="73" customFormat="false" ht="15" hidden="false" customHeight="false" outlineLevel="0" collapsed="false">
      <c r="A73" s="47" t="s">
        <v>193</v>
      </c>
      <c r="B73" s="51" t="n">
        <v>45749</v>
      </c>
      <c r="C73" s="47" t="s">
        <v>65</v>
      </c>
      <c r="D73" s="47" t="s">
        <v>136</v>
      </c>
      <c r="E73" s="47" t="s">
        <v>139</v>
      </c>
      <c r="F73" s="47" t="s">
        <v>141</v>
      </c>
      <c r="G73" s="47" t="n">
        <v>5</v>
      </c>
      <c r="H73" s="52" t="n">
        <v>6500</v>
      </c>
      <c r="I73" s="49" t="n">
        <v>0.05</v>
      </c>
      <c r="J73" s="52" t="n">
        <f aca="false">G73*H73*(1-I73)</f>
        <v>30875</v>
      </c>
      <c r="K73" s="49" t="n">
        <f aca="false">INDEX('🧮 Formulas'!$F$6:$F$8,MATCH(D73,'🧮 Formulas'!$E$6:$E$8,0))</f>
        <v>0.22</v>
      </c>
      <c r="L73" s="52" t="n">
        <f aca="false">J73*K73</f>
        <v>6792.5</v>
      </c>
      <c r="M73" s="47" t="n">
        <f aca="false">MONTH(B73)</f>
        <v>4</v>
      </c>
      <c r="N73" s="47" t="str">
        <f aca="false">TEXT(B73,"mmm")</f>
        <v>Apr</v>
      </c>
    </row>
    <row r="74" customFormat="false" ht="15" hidden="false" customHeight="false" outlineLevel="0" collapsed="false">
      <c r="A74" s="47" t="s">
        <v>189</v>
      </c>
      <c r="B74" s="51" t="n">
        <v>45750</v>
      </c>
      <c r="C74" s="47" t="s">
        <v>68</v>
      </c>
      <c r="D74" s="47" t="s">
        <v>136</v>
      </c>
      <c r="E74" s="47" t="s">
        <v>184</v>
      </c>
      <c r="F74" s="47" t="s">
        <v>141</v>
      </c>
      <c r="G74" s="47" t="n">
        <v>3</v>
      </c>
      <c r="H74" s="52" t="n">
        <v>1800</v>
      </c>
      <c r="I74" s="49" t="n">
        <v>0.1</v>
      </c>
      <c r="J74" s="52" t="n">
        <f aca="false">G74*H74*(1-I74)</f>
        <v>4860</v>
      </c>
      <c r="K74" s="49" t="n">
        <f aca="false">INDEX('🧮 Formulas'!$F$6:$F$8,MATCH(D74,'🧮 Formulas'!$E$6:$E$8,0))</f>
        <v>0.22</v>
      </c>
      <c r="L74" s="52" t="n">
        <f aca="false">J74*K74</f>
        <v>1069.2</v>
      </c>
      <c r="M74" s="47" t="n">
        <f aca="false">MONTH(B74)</f>
        <v>4</v>
      </c>
      <c r="N74" s="47" t="str">
        <f aca="false">TEXT(B74,"mmm")</f>
        <v>Apr</v>
      </c>
    </row>
    <row r="75" customFormat="false" ht="15" hidden="false" customHeight="false" outlineLevel="0" collapsed="false">
      <c r="A75" s="47" t="s">
        <v>232</v>
      </c>
      <c r="B75" s="51" t="n">
        <v>45750</v>
      </c>
      <c r="C75" s="47" t="s">
        <v>66</v>
      </c>
      <c r="D75" s="47" t="s">
        <v>136</v>
      </c>
      <c r="E75" s="47" t="s">
        <v>137</v>
      </c>
      <c r="F75" s="47" t="s">
        <v>141</v>
      </c>
      <c r="G75" s="47" t="n">
        <v>2</v>
      </c>
      <c r="H75" s="52" t="n">
        <v>12000</v>
      </c>
      <c r="I75" s="49" t="n">
        <v>0.1</v>
      </c>
      <c r="J75" s="52" t="n">
        <f aca="false">G75*H75*(1-I75)</f>
        <v>21600</v>
      </c>
      <c r="K75" s="49" t="n">
        <f aca="false">INDEX('🧮 Formulas'!$F$6:$F$8,MATCH(D75,'🧮 Formulas'!$E$6:$E$8,0))</f>
        <v>0.22</v>
      </c>
      <c r="L75" s="52" t="n">
        <f aca="false">J75*K75</f>
        <v>4752</v>
      </c>
      <c r="M75" s="47" t="n">
        <f aca="false">MONTH(B75)</f>
        <v>4</v>
      </c>
      <c r="N75" s="47" t="str">
        <f aca="false">TEXT(B75,"mmm")</f>
        <v>Apr</v>
      </c>
    </row>
    <row r="76" customFormat="false" ht="15" hidden="false" customHeight="false" outlineLevel="0" collapsed="false">
      <c r="A76" s="47" t="s">
        <v>194</v>
      </c>
      <c r="B76" s="51" t="n">
        <v>45750</v>
      </c>
      <c r="C76" s="47" t="s">
        <v>67</v>
      </c>
      <c r="D76" s="47" t="s">
        <v>136</v>
      </c>
      <c r="E76" s="47" t="s">
        <v>184</v>
      </c>
      <c r="F76" s="47" t="s">
        <v>134</v>
      </c>
      <c r="G76" s="47" t="n">
        <v>5</v>
      </c>
      <c r="H76" s="52" t="n">
        <v>1800</v>
      </c>
      <c r="I76" s="49" t="n">
        <v>0</v>
      </c>
      <c r="J76" s="52" t="n">
        <f aca="false">G76*H76*(1-I76)</f>
        <v>9000</v>
      </c>
      <c r="K76" s="49" t="n">
        <f aca="false">INDEX('🧮 Formulas'!$F$6:$F$8,MATCH(D76,'🧮 Formulas'!$E$6:$E$8,0))</f>
        <v>0.22</v>
      </c>
      <c r="L76" s="52" t="n">
        <f aca="false">J76*K76</f>
        <v>1980</v>
      </c>
      <c r="M76" s="47" t="n">
        <f aca="false">MONTH(B76)</f>
        <v>4</v>
      </c>
      <c r="N76" s="47" t="str">
        <f aca="false">TEXT(B76,"mmm")</f>
        <v>Apr</v>
      </c>
    </row>
    <row r="77" customFormat="false" ht="15" hidden="false" customHeight="false" outlineLevel="0" collapsed="false">
      <c r="A77" s="47" t="s">
        <v>158</v>
      </c>
      <c r="B77" s="51" t="n">
        <v>45755</v>
      </c>
      <c r="C77" s="47" t="s">
        <v>67</v>
      </c>
      <c r="D77" s="47" t="s">
        <v>128</v>
      </c>
      <c r="E77" s="47" t="s">
        <v>149</v>
      </c>
      <c r="F77" s="47" t="s">
        <v>141</v>
      </c>
      <c r="G77" s="47" t="n">
        <v>12</v>
      </c>
      <c r="H77" s="52" t="n">
        <v>450</v>
      </c>
      <c r="I77" s="49" t="n">
        <v>0.2</v>
      </c>
      <c r="J77" s="52" t="n">
        <f aca="false">G77*H77*(1-I77)</f>
        <v>4320</v>
      </c>
      <c r="K77" s="49" t="n">
        <f aca="false">INDEX('🧮 Formulas'!$F$6:$F$8,MATCH(D77,'🧮 Formulas'!$E$6:$E$8,0))</f>
        <v>0.3</v>
      </c>
      <c r="L77" s="52" t="n">
        <f aca="false">J77*K77</f>
        <v>1296</v>
      </c>
      <c r="M77" s="47" t="n">
        <f aca="false">MONTH(B77)</f>
        <v>4</v>
      </c>
      <c r="N77" s="47" t="str">
        <f aca="false">TEXT(B77,"mmm")</f>
        <v>Apr</v>
      </c>
    </row>
    <row r="78" customFormat="false" ht="15" hidden="false" customHeight="false" outlineLevel="0" collapsed="false">
      <c r="A78" s="47" t="s">
        <v>402</v>
      </c>
      <c r="B78" s="51" t="n">
        <v>45755</v>
      </c>
      <c r="C78" s="47" t="s">
        <v>65</v>
      </c>
      <c r="D78" s="47" t="s">
        <v>136</v>
      </c>
      <c r="E78" s="47" t="s">
        <v>184</v>
      </c>
      <c r="F78" s="47" t="s">
        <v>134</v>
      </c>
      <c r="G78" s="47" t="n">
        <v>3</v>
      </c>
      <c r="H78" s="52" t="n">
        <v>1800</v>
      </c>
      <c r="I78" s="49" t="n">
        <v>0</v>
      </c>
      <c r="J78" s="52" t="n">
        <f aca="false">G78*H78*(1-I78)</f>
        <v>5400</v>
      </c>
      <c r="K78" s="49" t="n">
        <f aca="false">INDEX('🧮 Formulas'!$F$6:$F$8,MATCH(D78,'🧮 Formulas'!$E$6:$E$8,0))</f>
        <v>0.22</v>
      </c>
      <c r="L78" s="52" t="n">
        <f aca="false">J78*K78</f>
        <v>1188</v>
      </c>
      <c r="M78" s="47" t="n">
        <f aca="false">MONTH(B78)</f>
        <v>4</v>
      </c>
      <c r="N78" s="47" t="str">
        <f aca="false">TEXT(B78,"mmm")</f>
        <v>Apr</v>
      </c>
    </row>
    <row r="79" customFormat="false" ht="15" hidden="false" customHeight="false" outlineLevel="0" collapsed="false">
      <c r="A79" s="47" t="s">
        <v>465</v>
      </c>
      <c r="B79" s="51" t="n">
        <v>45756</v>
      </c>
      <c r="C79" s="47" t="s">
        <v>65</v>
      </c>
      <c r="D79" s="47" t="s">
        <v>128</v>
      </c>
      <c r="E79" s="47" t="s">
        <v>155</v>
      </c>
      <c r="F79" s="47" t="s">
        <v>126</v>
      </c>
      <c r="G79" s="47" t="n">
        <v>11</v>
      </c>
      <c r="H79" s="52" t="n">
        <v>250</v>
      </c>
      <c r="I79" s="49" t="n">
        <v>0.2</v>
      </c>
      <c r="J79" s="52" t="n">
        <f aca="false">G79*H79*(1-I79)</f>
        <v>2200</v>
      </c>
      <c r="K79" s="49" t="n">
        <f aca="false">INDEX('🧮 Formulas'!$F$6:$F$8,MATCH(D79,'🧮 Formulas'!$E$6:$E$8,0))</f>
        <v>0.3</v>
      </c>
      <c r="L79" s="52" t="n">
        <f aca="false">J79*K79</f>
        <v>660</v>
      </c>
      <c r="M79" s="47" t="n">
        <f aca="false">MONTH(B79)</f>
        <v>4</v>
      </c>
      <c r="N79" s="47" t="str">
        <f aca="false">TEXT(B79,"mmm")</f>
        <v>Apr</v>
      </c>
    </row>
    <row r="80" customFormat="false" ht="15" hidden="false" customHeight="false" outlineLevel="0" collapsed="false">
      <c r="A80" s="47" t="s">
        <v>321</v>
      </c>
      <c r="B80" s="51" t="n">
        <v>45758</v>
      </c>
      <c r="C80" s="47" t="s">
        <v>67</v>
      </c>
      <c r="D80" s="47" t="s">
        <v>128</v>
      </c>
      <c r="E80" s="47" t="s">
        <v>129</v>
      </c>
      <c r="F80" s="47" t="s">
        <v>126</v>
      </c>
      <c r="G80" s="47" t="n">
        <v>6</v>
      </c>
      <c r="H80" s="52" t="n">
        <v>120</v>
      </c>
      <c r="I80" s="49" t="n">
        <v>0.2</v>
      </c>
      <c r="J80" s="52" t="n">
        <f aca="false">G80*H80*(1-I80)</f>
        <v>576</v>
      </c>
      <c r="K80" s="49" t="n">
        <f aca="false">INDEX('🧮 Formulas'!$F$6:$F$8,MATCH(D80,'🧮 Formulas'!$E$6:$E$8,0))</f>
        <v>0.3</v>
      </c>
      <c r="L80" s="52" t="n">
        <f aca="false">J80*K80</f>
        <v>172.8</v>
      </c>
      <c r="M80" s="47" t="n">
        <f aca="false">MONTH(B80)</f>
        <v>4</v>
      </c>
      <c r="N80" s="47" t="str">
        <f aca="false">TEXT(B80,"mmm")</f>
        <v>Apr</v>
      </c>
    </row>
    <row r="81" customFormat="false" ht="15" hidden="false" customHeight="false" outlineLevel="0" collapsed="false">
      <c r="A81" s="47" t="s">
        <v>231</v>
      </c>
      <c r="B81" s="51" t="n">
        <v>45765</v>
      </c>
      <c r="C81" s="47" t="s">
        <v>68</v>
      </c>
      <c r="D81" s="47" t="s">
        <v>128</v>
      </c>
      <c r="E81" s="47" t="s">
        <v>155</v>
      </c>
      <c r="F81" s="47" t="s">
        <v>141</v>
      </c>
      <c r="G81" s="47" t="n">
        <v>6</v>
      </c>
      <c r="H81" s="52" t="n">
        <v>250</v>
      </c>
      <c r="I81" s="49" t="n">
        <v>0.15</v>
      </c>
      <c r="J81" s="52" t="n">
        <f aca="false">G81*H81*(1-I81)</f>
        <v>1275</v>
      </c>
      <c r="K81" s="49" t="n">
        <f aca="false">INDEX('🧮 Formulas'!$F$6:$F$8,MATCH(D81,'🧮 Formulas'!$E$6:$E$8,0))</f>
        <v>0.3</v>
      </c>
      <c r="L81" s="52" t="n">
        <f aca="false">J81*K81</f>
        <v>382.5</v>
      </c>
      <c r="M81" s="47" t="n">
        <f aca="false">MONTH(B81)</f>
        <v>4</v>
      </c>
      <c r="N81" s="47" t="str">
        <f aca="false">TEXT(B81,"mmm")</f>
        <v>Apr</v>
      </c>
    </row>
    <row r="82" customFormat="false" ht="15" hidden="false" customHeight="false" outlineLevel="0" collapsed="false">
      <c r="A82" s="47" t="s">
        <v>436</v>
      </c>
      <c r="B82" s="51" t="n">
        <v>45765</v>
      </c>
      <c r="C82" s="47" t="s">
        <v>68</v>
      </c>
      <c r="D82" s="47" t="s">
        <v>128</v>
      </c>
      <c r="E82" s="47" t="s">
        <v>155</v>
      </c>
      <c r="F82" s="47" t="s">
        <v>141</v>
      </c>
      <c r="G82" s="47" t="n">
        <v>12</v>
      </c>
      <c r="H82" s="52" t="n">
        <v>250</v>
      </c>
      <c r="I82" s="49" t="n">
        <v>0</v>
      </c>
      <c r="J82" s="52" t="n">
        <f aca="false">G82*H82*(1-I82)</f>
        <v>3000</v>
      </c>
      <c r="K82" s="49" t="n">
        <f aca="false">INDEX('🧮 Formulas'!$F$6:$F$8,MATCH(D82,'🧮 Formulas'!$E$6:$E$8,0))</f>
        <v>0.3</v>
      </c>
      <c r="L82" s="52" t="n">
        <f aca="false">J82*K82</f>
        <v>900</v>
      </c>
      <c r="M82" s="47" t="n">
        <f aca="false">MONTH(B82)</f>
        <v>4</v>
      </c>
      <c r="N82" s="47" t="str">
        <f aca="false">TEXT(B82,"mmm")</f>
        <v>Apr</v>
      </c>
    </row>
    <row r="83" customFormat="false" ht="15" hidden="false" customHeight="false" outlineLevel="0" collapsed="false">
      <c r="A83" s="47" t="s">
        <v>156</v>
      </c>
      <c r="B83" s="51" t="n">
        <v>45767</v>
      </c>
      <c r="C83" s="47" t="s">
        <v>67</v>
      </c>
      <c r="D83" s="47" t="s">
        <v>124</v>
      </c>
      <c r="E83" s="47" t="s">
        <v>125</v>
      </c>
      <c r="F83" s="47" t="s">
        <v>141</v>
      </c>
      <c r="G83" s="47" t="n">
        <v>4</v>
      </c>
      <c r="H83" s="52" t="n">
        <v>3500</v>
      </c>
      <c r="I83" s="49" t="n">
        <v>0</v>
      </c>
      <c r="J83" s="52" t="n">
        <f aca="false">G83*H83*(1-I83)</f>
        <v>14000</v>
      </c>
      <c r="K83" s="49" t="n">
        <f aca="false">INDEX('🧮 Formulas'!$F$6:$F$8,MATCH(D83,'🧮 Formulas'!$E$6:$E$8,0))</f>
        <v>0.18</v>
      </c>
      <c r="L83" s="52" t="n">
        <f aca="false">J83*K83</f>
        <v>2520</v>
      </c>
      <c r="M83" s="47" t="n">
        <f aca="false">MONTH(B83)</f>
        <v>4</v>
      </c>
      <c r="N83" s="47" t="str">
        <f aca="false">TEXT(B83,"mmm")</f>
        <v>Apr</v>
      </c>
    </row>
    <row r="84" customFormat="false" ht="15" hidden="false" customHeight="false" outlineLevel="0" collapsed="false">
      <c r="A84" s="47" t="s">
        <v>468</v>
      </c>
      <c r="B84" s="51" t="n">
        <v>45770</v>
      </c>
      <c r="C84" s="47" t="s">
        <v>67</v>
      </c>
      <c r="D84" s="47" t="s">
        <v>128</v>
      </c>
      <c r="E84" s="47" t="s">
        <v>149</v>
      </c>
      <c r="F84" s="47" t="s">
        <v>134</v>
      </c>
      <c r="G84" s="47" t="n">
        <v>9</v>
      </c>
      <c r="H84" s="52" t="n">
        <v>450</v>
      </c>
      <c r="I84" s="49" t="n">
        <v>0.1</v>
      </c>
      <c r="J84" s="52" t="n">
        <f aca="false">G84*H84*(1-I84)</f>
        <v>3645</v>
      </c>
      <c r="K84" s="49" t="n">
        <f aca="false">INDEX('🧮 Formulas'!$F$6:$F$8,MATCH(D84,'🧮 Formulas'!$E$6:$E$8,0))</f>
        <v>0.3</v>
      </c>
      <c r="L84" s="52" t="n">
        <f aca="false">J84*K84</f>
        <v>1093.5</v>
      </c>
      <c r="M84" s="47" t="n">
        <f aca="false">MONTH(B84)</f>
        <v>4</v>
      </c>
      <c r="N84" s="47" t="str">
        <f aca="false">TEXT(B84,"mmm")</f>
        <v>Apr</v>
      </c>
    </row>
    <row r="85" customFormat="false" ht="15" hidden="false" customHeight="false" outlineLevel="0" collapsed="false">
      <c r="A85" s="47" t="s">
        <v>457</v>
      </c>
      <c r="B85" s="51" t="n">
        <v>45771</v>
      </c>
      <c r="C85" s="47" t="s">
        <v>65</v>
      </c>
      <c r="D85" s="47" t="s">
        <v>128</v>
      </c>
      <c r="E85" s="47" t="s">
        <v>155</v>
      </c>
      <c r="F85" s="47" t="s">
        <v>141</v>
      </c>
      <c r="G85" s="47" t="n">
        <v>11</v>
      </c>
      <c r="H85" s="52" t="n">
        <v>250</v>
      </c>
      <c r="I85" s="49" t="n">
        <v>0.1</v>
      </c>
      <c r="J85" s="52" t="n">
        <f aca="false">G85*H85*(1-I85)</f>
        <v>2475</v>
      </c>
      <c r="K85" s="49" t="n">
        <f aca="false">INDEX('🧮 Formulas'!$F$6:$F$8,MATCH(D85,'🧮 Formulas'!$E$6:$E$8,0))</f>
        <v>0.3</v>
      </c>
      <c r="L85" s="52" t="n">
        <f aca="false">J85*K85</f>
        <v>742.5</v>
      </c>
      <c r="M85" s="47" t="n">
        <f aca="false">MONTH(B85)</f>
        <v>4</v>
      </c>
      <c r="N85" s="47" t="str">
        <f aca="false">TEXT(B85,"mmm")</f>
        <v>Apr</v>
      </c>
    </row>
    <row r="86" customFormat="false" ht="15" hidden="false" customHeight="false" outlineLevel="0" collapsed="false">
      <c r="A86" s="47" t="s">
        <v>315</v>
      </c>
      <c r="B86" s="51" t="n">
        <v>45773</v>
      </c>
      <c r="C86" s="47" t="s">
        <v>66</v>
      </c>
      <c r="D86" s="47" t="s">
        <v>136</v>
      </c>
      <c r="E86" s="47" t="s">
        <v>184</v>
      </c>
      <c r="F86" s="47" t="s">
        <v>126</v>
      </c>
      <c r="G86" s="47" t="n">
        <v>2</v>
      </c>
      <c r="H86" s="52" t="n">
        <v>1800</v>
      </c>
      <c r="I86" s="49" t="n">
        <v>0</v>
      </c>
      <c r="J86" s="52" t="n">
        <f aca="false">G86*H86*(1-I86)</f>
        <v>3600</v>
      </c>
      <c r="K86" s="49" t="n">
        <f aca="false">INDEX('🧮 Formulas'!$F$6:$F$8,MATCH(D86,'🧮 Formulas'!$E$6:$E$8,0))</f>
        <v>0.22</v>
      </c>
      <c r="L86" s="52" t="n">
        <f aca="false">J86*K86</f>
        <v>792</v>
      </c>
      <c r="M86" s="47" t="n">
        <f aca="false">MONTH(B86)</f>
        <v>4</v>
      </c>
      <c r="N86" s="47" t="str">
        <f aca="false">TEXT(B86,"mmm")</f>
        <v>Apr</v>
      </c>
    </row>
    <row r="87" customFormat="false" ht="15" hidden="false" customHeight="false" outlineLevel="0" collapsed="false">
      <c r="A87" s="47" t="s">
        <v>360</v>
      </c>
      <c r="B87" s="51" t="n">
        <v>45776</v>
      </c>
      <c r="C87" s="47" t="s">
        <v>67</v>
      </c>
      <c r="D87" s="47" t="s">
        <v>136</v>
      </c>
      <c r="E87" s="47" t="s">
        <v>139</v>
      </c>
      <c r="F87" s="47" t="s">
        <v>141</v>
      </c>
      <c r="G87" s="47" t="n">
        <v>1</v>
      </c>
      <c r="H87" s="52" t="n">
        <v>6500</v>
      </c>
      <c r="I87" s="49" t="n">
        <v>0.05</v>
      </c>
      <c r="J87" s="52" t="n">
        <f aca="false">G87*H87*(1-I87)</f>
        <v>6175</v>
      </c>
      <c r="K87" s="49" t="n">
        <f aca="false">INDEX('🧮 Formulas'!$F$6:$F$8,MATCH(D87,'🧮 Formulas'!$E$6:$E$8,0))</f>
        <v>0.22</v>
      </c>
      <c r="L87" s="52" t="n">
        <f aca="false">J87*K87</f>
        <v>1358.5</v>
      </c>
      <c r="M87" s="47" t="n">
        <f aca="false">MONTH(B87)</f>
        <v>4</v>
      </c>
      <c r="N87" s="47" t="str">
        <f aca="false">TEXT(B87,"mmm")</f>
        <v>Apr</v>
      </c>
    </row>
    <row r="88" customFormat="false" ht="15" hidden="false" customHeight="false" outlineLevel="0" collapsed="false">
      <c r="A88" s="47" t="s">
        <v>339</v>
      </c>
      <c r="B88" s="51" t="n">
        <v>45777</v>
      </c>
      <c r="C88" s="47" t="s">
        <v>65</v>
      </c>
      <c r="D88" s="47" t="s">
        <v>124</v>
      </c>
      <c r="E88" s="47" t="s">
        <v>125</v>
      </c>
      <c r="F88" s="47" t="s">
        <v>134</v>
      </c>
      <c r="G88" s="47" t="n">
        <v>1</v>
      </c>
      <c r="H88" s="52" t="n">
        <v>3500</v>
      </c>
      <c r="I88" s="49" t="n">
        <v>0.05</v>
      </c>
      <c r="J88" s="52" t="n">
        <f aca="false">G88*H88*(1-I88)</f>
        <v>3325</v>
      </c>
      <c r="K88" s="49" t="n">
        <f aca="false">INDEX('🧮 Formulas'!$F$6:$F$8,MATCH(D88,'🧮 Formulas'!$E$6:$E$8,0))</f>
        <v>0.18</v>
      </c>
      <c r="L88" s="52" t="n">
        <f aca="false">J88*K88</f>
        <v>598.5</v>
      </c>
      <c r="M88" s="47" t="n">
        <f aca="false">MONTH(B88)</f>
        <v>4</v>
      </c>
      <c r="N88" s="47" t="str">
        <f aca="false">TEXT(B88,"mmm")</f>
        <v>Apr</v>
      </c>
    </row>
    <row r="89" customFormat="false" ht="15" hidden="false" customHeight="false" outlineLevel="0" collapsed="false">
      <c r="A89" s="47" t="s">
        <v>322</v>
      </c>
      <c r="B89" s="51" t="n">
        <v>45777</v>
      </c>
      <c r="C89" s="47" t="s">
        <v>67</v>
      </c>
      <c r="D89" s="47" t="s">
        <v>124</v>
      </c>
      <c r="E89" s="47" t="s">
        <v>133</v>
      </c>
      <c r="F89" s="47" t="s">
        <v>126</v>
      </c>
      <c r="G89" s="47" t="n">
        <v>2</v>
      </c>
      <c r="H89" s="52" t="n">
        <v>22000</v>
      </c>
      <c r="I89" s="49" t="n">
        <v>0.15</v>
      </c>
      <c r="J89" s="52" t="n">
        <f aca="false">G89*H89*(1-I89)</f>
        <v>37400</v>
      </c>
      <c r="K89" s="49" t="n">
        <f aca="false">INDEX('🧮 Formulas'!$F$6:$F$8,MATCH(D89,'🧮 Formulas'!$E$6:$E$8,0))</f>
        <v>0.18</v>
      </c>
      <c r="L89" s="52" t="n">
        <f aca="false">J89*K89</f>
        <v>6732</v>
      </c>
      <c r="M89" s="47" t="n">
        <f aca="false">MONTH(B89)</f>
        <v>4</v>
      </c>
      <c r="N89" s="47" t="str">
        <f aca="false">TEXT(B89,"mmm")</f>
        <v>Apr</v>
      </c>
    </row>
    <row r="90" customFormat="false" ht="15" hidden="false" customHeight="false" outlineLevel="0" collapsed="false">
      <c r="A90" s="47" t="s">
        <v>297</v>
      </c>
      <c r="B90" s="51" t="n">
        <v>45778</v>
      </c>
      <c r="C90" s="47" t="s">
        <v>67</v>
      </c>
      <c r="D90" s="47" t="s">
        <v>128</v>
      </c>
      <c r="E90" s="47" t="s">
        <v>155</v>
      </c>
      <c r="F90" s="47" t="s">
        <v>126</v>
      </c>
      <c r="G90" s="47" t="n">
        <v>3</v>
      </c>
      <c r="H90" s="52" t="n">
        <v>250</v>
      </c>
      <c r="I90" s="49" t="n">
        <v>0</v>
      </c>
      <c r="J90" s="52" t="n">
        <f aca="false">G90*H90*(1-I90)</f>
        <v>750</v>
      </c>
      <c r="K90" s="49" t="n">
        <f aca="false">INDEX('🧮 Formulas'!$F$6:$F$8,MATCH(D90,'🧮 Formulas'!$E$6:$E$8,0))</f>
        <v>0.3</v>
      </c>
      <c r="L90" s="52" t="n">
        <f aca="false">J90*K90</f>
        <v>225</v>
      </c>
      <c r="M90" s="47" t="n">
        <f aca="false">MONTH(B90)</f>
        <v>5</v>
      </c>
      <c r="N90" s="47" t="str">
        <f aca="false">TEXT(B90,"mmm")</f>
        <v>May</v>
      </c>
    </row>
    <row r="91" customFormat="false" ht="15" hidden="false" customHeight="false" outlineLevel="0" collapsed="false">
      <c r="A91" s="47" t="s">
        <v>333</v>
      </c>
      <c r="B91" s="51" t="n">
        <v>45779</v>
      </c>
      <c r="C91" s="47" t="s">
        <v>66</v>
      </c>
      <c r="D91" s="47" t="s">
        <v>128</v>
      </c>
      <c r="E91" s="47" t="s">
        <v>129</v>
      </c>
      <c r="F91" s="47" t="s">
        <v>134</v>
      </c>
      <c r="G91" s="47" t="n">
        <v>3</v>
      </c>
      <c r="H91" s="52" t="n">
        <v>120</v>
      </c>
      <c r="I91" s="49" t="n">
        <v>0.1</v>
      </c>
      <c r="J91" s="52" t="n">
        <f aca="false">G91*H91*(1-I91)</f>
        <v>324</v>
      </c>
      <c r="K91" s="49" t="n">
        <f aca="false">INDEX('🧮 Formulas'!$F$6:$F$8,MATCH(D91,'🧮 Formulas'!$E$6:$E$8,0))</f>
        <v>0.3</v>
      </c>
      <c r="L91" s="52" t="n">
        <f aca="false">J91*K91</f>
        <v>97.2</v>
      </c>
      <c r="M91" s="47" t="n">
        <f aca="false">MONTH(B91)</f>
        <v>5</v>
      </c>
      <c r="N91" s="47" t="str">
        <f aca="false">TEXT(B91,"mmm")</f>
        <v>May</v>
      </c>
    </row>
    <row r="92" customFormat="false" ht="15" hidden="false" customHeight="false" outlineLevel="0" collapsed="false">
      <c r="A92" s="47" t="s">
        <v>418</v>
      </c>
      <c r="B92" s="51" t="n">
        <v>45779</v>
      </c>
      <c r="C92" s="47" t="s">
        <v>68</v>
      </c>
      <c r="D92" s="47" t="s">
        <v>128</v>
      </c>
      <c r="E92" s="47" t="s">
        <v>144</v>
      </c>
      <c r="F92" s="47" t="s">
        <v>141</v>
      </c>
      <c r="G92" s="47" t="n">
        <v>3</v>
      </c>
      <c r="H92" s="52" t="n">
        <v>180</v>
      </c>
      <c r="I92" s="49" t="n">
        <v>0.05</v>
      </c>
      <c r="J92" s="52" t="n">
        <f aca="false">G92*H92*(1-I92)</f>
        <v>513</v>
      </c>
      <c r="K92" s="49" t="n">
        <f aca="false">INDEX('🧮 Formulas'!$F$6:$F$8,MATCH(D92,'🧮 Formulas'!$E$6:$E$8,0))</f>
        <v>0.3</v>
      </c>
      <c r="L92" s="52" t="n">
        <f aca="false">J92*K92</f>
        <v>153.9</v>
      </c>
      <c r="M92" s="47" t="n">
        <f aca="false">MONTH(B92)</f>
        <v>5</v>
      </c>
      <c r="N92" s="47" t="str">
        <f aca="false">TEXT(B92,"mmm")</f>
        <v>May</v>
      </c>
    </row>
    <row r="93" customFormat="false" ht="15" hidden="false" customHeight="false" outlineLevel="0" collapsed="false">
      <c r="A93" s="47" t="s">
        <v>477</v>
      </c>
      <c r="B93" s="51" t="n">
        <v>45779</v>
      </c>
      <c r="C93" s="47" t="s">
        <v>68</v>
      </c>
      <c r="D93" s="47" t="s">
        <v>124</v>
      </c>
      <c r="E93" s="47" t="s">
        <v>133</v>
      </c>
      <c r="F93" s="47" t="s">
        <v>126</v>
      </c>
      <c r="G93" s="47" t="n">
        <v>2</v>
      </c>
      <c r="H93" s="52" t="n">
        <v>22000</v>
      </c>
      <c r="I93" s="49" t="n">
        <v>0.05</v>
      </c>
      <c r="J93" s="52" t="n">
        <f aca="false">G93*H93*(1-I93)</f>
        <v>41800</v>
      </c>
      <c r="K93" s="49" t="n">
        <f aca="false">INDEX('🧮 Formulas'!$F$6:$F$8,MATCH(D93,'🧮 Formulas'!$E$6:$E$8,0))</f>
        <v>0.18</v>
      </c>
      <c r="L93" s="52" t="n">
        <f aca="false">J93*K93</f>
        <v>7524</v>
      </c>
      <c r="M93" s="47" t="n">
        <f aca="false">MONTH(B93)</f>
        <v>5</v>
      </c>
      <c r="N93" s="47" t="str">
        <f aca="false">TEXT(B93,"mmm")</f>
        <v>May</v>
      </c>
    </row>
    <row r="94" customFormat="false" ht="15" hidden="false" customHeight="false" outlineLevel="0" collapsed="false">
      <c r="A94" s="47" t="s">
        <v>170</v>
      </c>
      <c r="B94" s="51" t="n">
        <v>45780</v>
      </c>
      <c r="C94" s="47" t="s">
        <v>67</v>
      </c>
      <c r="D94" s="47" t="s">
        <v>128</v>
      </c>
      <c r="E94" s="47" t="s">
        <v>144</v>
      </c>
      <c r="F94" s="47" t="s">
        <v>134</v>
      </c>
      <c r="G94" s="47" t="n">
        <v>12</v>
      </c>
      <c r="H94" s="52" t="n">
        <v>180</v>
      </c>
      <c r="I94" s="49" t="n">
        <v>0</v>
      </c>
      <c r="J94" s="52" t="n">
        <f aca="false">G94*H94*(1-I94)</f>
        <v>2160</v>
      </c>
      <c r="K94" s="49" t="n">
        <f aca="false">INDEX('🧮 Formulas'!$F$6:$F$8,MATCH(D94,'🧮 Formulas'!$E$6:$E$8,0))</f>
        <v>0.3</v>
      </c>
      <c r="L94" s="52" t="n">
        <f aca="false">J94*K94</f>
        <v>648</v>
      </c>
      <c r="M94" s="47" t="n">
        <f aca="false">MONTH(B94)</f>
        <v>5</v>
      </c>
      <c r="N94" s="47" t="str">
        <f aca="false">TEXT(B94,"mmm")</f>
        <v>May</v>
      </c>
    </row>
    <row r="95" customFormat="false" ht="15" hidden="false" customHeight="false" outlineLevel="0" collapsed="false">
      <c r="A95" s="47" t="s">
        <v>217</v>
      </c>
      <c r="B95" s="51" t="n">
        <v>45781</v>
      </c>
      <c r="C95" s="47" t="s">
        <v>68</v>
      </c>
      <c r="D95" s="47" t="s">
        <v>128</v>
      </c>
      <c r="E95" s="47" t="s">
        <v>144</v>
      </c>
      <c r="F95" s="47" t="s">
        <v>141</v>
      </c>
      <c r="G95" s="47" t="n">
        <v>10</v>
      </c>
      <c r="H95" s="52" t="n">
        <v>180</v>
      </c>
      <c r="I95" s="49" t="n">
        <v>0.2</v>
      </c>
      <c r="J95" s="52" t="n">
        <f aca="false">G95*H95*(1-I95)</f>
        <v>1440</v>
      </c>
      <c r="K95" s="49" t="n">
        <f aca="false">INDEX('🧮 Formulas'!$F$6:$F$8,MATCH(D95,'🧮 Formulas'!$E$6:$E$8,0))</f>
        <v>0.3</v>
      </c>
      <c r="L95" s="52" t="n">
        <f aca="false">J95*K95</f>
        <v>432</v>
      </c>
      <c r="M95" s="47" t="n">
        <f aca="false">MONTH(B95)</f>
        <v>5</v>
      </c>
      <c r="N95" s="47" t="str">
        <f aca="false">TEXT(B95,"mmm")</f>
        <v>May</v>
      </c>
    </row>
    <row r="96" customFormat="false" ht="15" hidden="false" customHeight="false" outlineLevel="0" collapsed="false">
      <c r="A96" s="47" t="s">
        <v>456</v>
      </c>
      <c r="B96" s="51" t="n">
        <v>45783</v>
      </c>
      <c r="C96" s="47" t="s">
        <v>67</v>
      </c>
      <c r="D96" s="47" t="s">
        <v>124</v>
      </c>
      <c r="E96" s="47" t="s">
        <v>125</v>
      </c>
      <c r="F96" s="47" t="s">
        <v>134</v>
      </c>
      <c r="G96" s="47" t="n">
        <v>1</v>
      </c>
      <c r="H96" s="52" t="n">
        <v>3500</v>
      </c>
      <c r="I96" s="49" t="n">
        <v>0</v>
      </c>
      <c r="J96" s="52" t="n">
        <f aca="false">G96*H96*(1-I96)</f>
        <v>3500</v>
      </c>
      <c r="K96" s="49" t="n">
        <f aca="false">INDEX('🧮 Formulas'!$F$6:$F$8,MATCH(D96,'🧮 Formulas'!$E$6:$E$8,0))</f>
        <v>0.18</v>
      </c>
      <c r="L96" s="52" t="n">
        <f aca="false">J96*K96</f>
        <v>630</v>
      </c>
      <c r="M96" s="47" t="n">
        <f aca="false">MONTH(B96)</f>
        <v>5</v>
      </c>
      <c r="N96" s="47" t="str">
        <f aca="false">TEXT(B96,"mmm")</f>
        <v>May</v>
      </c>
    </row>
    <row r="97" customFormat="false" ht="15" hidden="false" customHeight="false" outlineLevel="0" collapsed="false">
      <c r="A97" s="47" t="s">
        <v>471</v>
      </c>
      <c r="B97" s="51" t="n">
        <v>45783</v>
      </c>
      <c r="C97" s="47" t="s">
        <v>65</v>
      </c>
      <c r="D97" s="47" t="s">
        <v>128</v>
      </c>
      <c r="E97" s="47" t="s">
        <v>155</v>
      </c>
      <c r="F97" s="47" t="s">
        <v>134</v>
      </c>
      <c r="G97" s="47" t="n">
        <v>7</v>
      </c>
      <c r="H97" s="52" t="n">
        <v>250</v>
      </c>
      <c r="I97" s="49" t="n">
        <v>0.1</v>
      </c>
      <c r="J97" s="52" t="n">
        <f aca="false">G97*H97*(1-I97)</f>
        <v>1575</v>
      </c>
      <c r="K97" s="49" t="n">
        <f aca="false">INDEX('🧮 Formulas'!$F$6:$F$8,MATCH(D97,'🧮 Formulas'!$E$6:$E$8,0))</f>
        <v>0.3</v>
      </c>
      <c r="L97" s="52" t="n">
        <f aca="false">J97*K97</f>
        <v>472.5</v>
      </c>
      <c r="M97" s="47" t="n">
        <f aca="false">MONTH(B97)</f>
        <v>5</v>
      </c>
      <c r="N97" s="47" t="str">
        <f aca="false">TEXT(B97,"mmm")</f>
        <v>May</v>
      </c>
    </row>
    <row r="98" customFormat="false" ht="15" hidden="false" customHeight="false" outlineLevel="0" collapsed="false">
      <c r="A98" s="47" t="s">
        <v>168</v>
      </c>
      <c r="B98" s="51" t="n">
        <v>45785</v>
      </c>
      <c r="C98" s="47" t="s">
        <v>65</v>
      </c>
      <c r="D98" s="47" t="s">
        <v>136</v>
      </c>
      <c r="E98" s="47" t="s">
        <v>160</v>
      </c>
      <c r="F98" s="47" t="s">
        <v>134</v>
      </c>
      <c r="G98" s="47" t="n">
        <v>5</v>
      </c>
      <c r="H98" s="52" t="n">
        <v>8500</v>
      </c>
      <c r="I98" s="49" t="n">
        <v>0</v>
      </c>
      <c r="J98" s="52" t="n">
        <f aca="false">G98*H98*(1-I98)</f>
        <v>42500</v>
      </c>
      <c r="K98" s="49" t="n">
        <f aca="false">INDEX('🧮 Formulas'!$F$6:$F$8,MATCH(D98,'🧮 Formulas'!$E$6:$E$8,0))</f>
        <v>0.22</v>
      </c>
      <c r="L98" s="52" t="n">
        <f aca="false">J98*K98</f>
        <v>9350</v>
      </c>
      <c r="M98" s="47" t="n">
        <f aca="false">MONTH(B98)</f>
        <v>5</v>
      </c>
      <c r="N98" s="47" t="str">
        <f aca="false">TEXT(B98,"mmm")</f>
        <v>May</v>
      </c>
    </row>
    <row r="99" customFormat="false" ht="15" hidden="false" customHeight="false" outlineLevel="0" collapsed="false">
      <c r="A99" s="47" t="s">
        <v>424</v>
      </c>
      <c r="B99" s="51" t="n">
        <v>45785</v>
      </c>
      <c r="C99" s="47" t="s">
        <v>65</v>
      </c>
      <c r="D99" s="47" t="s">
        <v>128</v>
      </c>
      <c r="E99" s="47" t="s">
        <v>155</v>
      </c>
      <c r="F99" s="47" t="s">
        <v>141</v>
      </c>
      <c r="G99" s="47" t="n">
        <v>3</v>
      </c>
      <c r="H99" s="52" t="n">
        <v>250</v>
      </c>
      <c r="I99" s="49" t="n">
        <v>0.1</v>
      </c>
      <c r="J99" s="52" t="n">
        <f aca="false">G99*H99*(1-I99)</f>
        <v>675</v>
      </c>
      <c r="K99" s="49" t="n">
        <f aca="false">INDEX('🧮 Formulas'!$F$6:$F$8,MATCH(D99,'🧮 Formulas'!$E$6:$E$8,0))</f>
        <v>0.3</v>
      </c>
      <c r="L99" s="52" t="n">
        <f aca="false">J99*K99</f>
        <v>202.5</v>
      </c>
      <c r="M99" s="47" t="n">
        <f aca="false">MONTH(B99)</f>
        <v>5</v>
      </c>
      <c r="N99" s="47" t="str">
        <f aca="false">TEXT(B99,"mmm")</f>
        <v>May</v>
      </c>
    </row>
    <row r="100" customFormat="false" ht="15" hidden="false" customHeight="false" outlineLevel="0" collapsed="false">
      <c r="A100" s="47" t="s">
        <v>341</v>
      </c>
      <c r="B100" s="51" t="n">
        <v>45786</v>
      </c>
      <c r="C100" s="47" t="s">
        <v>65</v>
      </c>
      <c r="D100" s="47" t="s">
        <v>136</v>
      </c>
      <c r="E100" s="47" t="s">
        <v>184</v>
      </c>
      <c r="F100" s="47" t="s">
        <v>141</v>
      </c>
      <c r="G100" s="47" t="n">
        <v>5</v>
      </c>
      <c r="H100" s="52" t="n">
        <v>1800</v>
      </c>
      <c r="I100" s="49" t="n">
        <v>0.2</v>
      </c>
      <c r="J100" s="52" t="n">
        <f aca="false">G100*H100*(1-I100)</f>
        <v>7200</v>
      </c>
      <c r="K100" s="49" t="n">
        <f aca="false">INDEX('🧮 Formulas'!$F$6:$F$8,MATCH(D100,'🧮 Formulas'!$E$6:$E$8,0))</f>
        <v>0.22</v>
      </c>
      <c r="L100" s="52" t="n">
        <f aca="false">J100*K100</f>
        <v>1584</v>
      </c>
      <c r="M100" s="47" t="n">
        <f aca="false">MONTH(B100)</f>
        <v>5</v>
      </c>
      <c r="N100" s="47" t="str">
        <f aca="false">TEXT(B100,"mmm")</f>
        <v>May</v>
      </c>
    </row>
    <row r="101" customFormat="false" ht="15" hidden="false" customHeight="false" outlineLevel="0" collapsed="false">
      <c r="A101" s="47" t="s">
        <v>454</v>
      </c>
      <c r="B101" s="51" t="n">
        <v>45786</v>
      </c>
      <c r="C101" s="47" t="s">
        <v>65</v>
      </c>
      <c r="D101" s="47" t="s">
        <v>124</v>
      </c>
      <c r="E101" s="47" t="s">
        <v>125</v>
      </c>
      <c r="F101" s="47" t="s">
        <v>126</v>
      </c>
      <c r="G101" s="47" t="n">
        <v>4</v>
      </c>
      <c r="H101" s="52" t="n">
        <v>3500</v>
      </c>
      <c r="I101" s="49" t="n">
        <v>0.2</v>
      </c>
      <c r="J101" s="52" t="n">
        <f aca="false">G101*H101*(1-I101)</f>
        <v>11200</v>
      </c>
      <c r="K101" s="49" t="n">
        <f aca="false">INDEX('🧮 Formulas'!$F$6:$F$8,MATCH(D101,'🧮 Formulas'!$E$6:$E$8,0))</f>
        <v>0.18</v>
      </c>
      <c r="L101" s="52" t="n">
        <f aca="false">J101*K101</f>
        <v>2016</v>
      </c>
      <c r="M101" s="47" t="n">
        <f aca="false">MONTH(B101)</f>
        <v>5</v>
      </c>
      <c r="N101" s="47" t="str">
        <f aca="false">TEXT(B101,"mmm")</f>
        <v>May</v>
      </c>
    </row>
    <row r="102" customFormat="false" ht="15" hidden="false" customHeight="false" outlineLevel="0" collapsed="false">
      <c r="A102" s="47" t="s">
        <v>441</v>
      </c>
      <c r="B102" s="51" t="n">
        <v>45786</v>
      </c>
      <c r="C102" s="47" t="s">
        <v>68</v>
      </c>
      <c r="D102" s="47" t="s">
        <v>128</v>
      </c>
      <c r="E102" s="47" t="s">
        <v>144</v>
      </c>
      <c r="F102" s="47" t="s">
        <v>134</v>
      </c>
      <c r="G102" s="47" t="n">
        <v>13</v>
      </c>
      <c r="H102" s="52" t="n">
        <v>180</v>
      </c>
      <c r="I102" s="49" t="n">
        <v>0</v>
      </c>
      <c r="J102" s="52" t="n">
        <f aca="false">G102*H102*(1-I102)</f>
        <v>2340</v>
      </c>
      <c r="K102" s="49" t="n">
        <f aca="false">INDEX('🧮 Formulas'!$F$6:$F$8,MATCH(D102,'🧮 Formulas'!$E$6:$E$8,0))</f>
        <v>0.3</v>
      </c>
      <c r="L102" s="52" t="n">
        <f aca="false">J102*K102</f>
        <v>702</v>
      </c>
      <c r="M102" s="47" t="n">
        <f aca="false">MONTH(B102)</f>
        <v>5</v>
      </c>
      <c r="N102" s="47" t="str">
        <f aca="false">TEXT(B102,"mmm")</f>
        <v>May</v>
      </c>
    </row>
    <row r="103" customFormat="false" ht="15" hidden="false" customHeight="false" outlineLevel="0" collapsed="false">
      <c r="A103" s="47" t="s">
        <v>278</v>
      </c>
      <c r="B103" s="51" t="n">
        <v>45787</v>
      </c>
      <c r="C103" s="47" t="s">
        <v>68</v>
      </c>
      <c r="D103" s="47" t="s">
        <v>136</v>
      </c>
      <c r="E103" s="47" t="s">
        <v>137</v>
      </c>
      <c r="F103" s="47" t="s">
        <v>126</v>
      </c>
      <c r="G103" s="47" t="n">
        <v>1</v>
      </c>
      <c r="H103" s="52" t="n">
        <v>12000</v>
      </c>
      <c r="I103" s="49" t="n">
        <v>0</v>
      </c>
      <c r="J103" s="52" t="n">
        <f aca="false">G103*H103*(1-I103)</f>
        <v>12000</v>
      </c>
      <c r="K103" s="49" t="n">
        <f aca="false">INDEX('🧮 Formulas'!$F$6:$F$8,MATCH(D103,'🧮 Formulas'!$E$6:$E$8,0))</f>
        <v>0.22</v>
      </c>
      <c r="L103" s="52" t="n">
        <f aca="false">J103*K103</f>
        <v>2640</v>
      </c>
      <c r="M103" s="47" t="n">
        <f aca="false">MONTH(B103)</f>
        <v>5</v>
      </c>
      <c r="N103" s="47" t="str">
        <f aca="false">TEXT(B103,"mmm")</f>
        <v>May</v>
      </c>
    </row>
    <row r="104" customFormat="false" ht="15" hidden="false" customHeight="false" outlineLevel="0" collapsed="false">
      <c r="A104" s="47" t="s">
        <v>385</v>
      </c>
      <c r="B104" s="51" t="n">
        <v>45787</v>
      </c>
      <c r="C104" s="47" t="s">
        <v>65</v>
      </c>
      <c r="D104" s="47" t="s">
        <v>124</v>
      </c>
      <c r="E104" s="47" t="s">
        <v>146</v>
      </c>
      <c r="F104" s="47" t="s">
        <v>134</v>
      </c>
      <c r="G104" s="47" t="n">
        <v>3</v>
      </c>
      <c r="H104" s="52" t="n">
        <v>14000</v>
      </c>
      <c r="I104" s="49" t="n">
        <v>0</v>
      </c>
      <c r="J104" s="52" t="n">
        <f aca="false">G104*H104*(1-I104)</f>
        <v>42000</v>
      </c>
      <c r="K104" s="49" t="n">
        <f aca="false">INDEX('🧮 Formulas'!$F$6:$F$8,MATCH(D104,'🧮 Formulas'!$E$6:$E$8,0))</f>
        <v>0.18</v>
      </c>
      <c r="L104" s="52" t="n">
        <f aca="false">J104*K104</f>
        <v>7560</v>
      </c>
      <c r="M104" s="47" t="n">
        <f aca="false">MONTH(B104)</f>
        <v>5</v>
      </c>
      <c r="N104" s="47" t="str">
        <f aca="false">TEXT(B104,"mmm")</f>
        <v>May</v>
      </c>
    </row>
    <row r="105" customFormat="false" ht="15" hidden="false" customHeight="false" outlineLevel="0" collapsed="false">
      <c r="A105" s="47" t="s">
        <v>223</v>
      </c>
      <c r="B105" s="51" t="n">
        <v>45788</v>
      </c>
      <c r="C105" s="47" t="s">
        <v>67</v>
      </c>
      <c r="D105" s="47" t="s">
        <v>136</v>
      </c>
      <c r="E105" s="47" t="s">
        <v>137</v>
      </c>
      <c r="F105" s="47" t="s">
        <v>134</v>
      </c>
      <c r="G105" s="47" t="n">
        <v>2</v>
      </c>
      <c r="H105" s="52" t="n">
        <v>12000</v>
      </c>
      <c r="I105" s="49" t="n">
        <v>0</v>
      </c>
      <c r="J105" s="52" t="n">
        <f aca="false">G105*H105*(1-I105)</f>
        <v>24000</v>
      </c>
      <c r="K105" s="49" t="n">
        <f aca="false">INDEX('🧮 Formulas'!$F$6:$F$8,MATCH(D105,'🧮 Formulas'!$E$6:$E$8,0))</f>
        <v>0.22</v>
      </c>
      <c r="L105" s="52" t="n">
        <f aca="false">J105*K105</f>
        <v>5280</v>
      </c>
      <c r="M105" s="47" t="n">
        <f aca="false">MONTH(B105)</f>
        <v>5</v>
      </c>
      <c r="N105" s="47" t="str">
        <f aca="false">TEXT(B105,"mmm")</f>
        <v>May</v>
      </c>
    </row>
    <row r="106" customFormat="false" ht="15" hidden="false" customHeight="false" outlineLevel="0" collapsed="false">
      <c r="A106" s="47" t="s">
        <v>130</v>
      </c>
      <c r="B106" s="51" t="n">
        <v>45789</v>
      </c>
      <c r="C106" s="47" t="s">
        <v>66</v>
      </c>
      <c r="D106" s="47" t="s">
        <v>124</v>
      </c>
      <c r="E106" s="47" t="s">
        <v>131</v>
      </c>
      <c r="F106" s="47" t="s">
        <v>126</v>
      </c>
      <c r="G106" s="47" t="n">
        <v>1</v>
      </c>
      <c r="H106" s="52" t="n">
        <v>55000</v>
      </c>
      <c r="I106" s="49" t="n">
        <v>0.15</v>
      </c>
      <c r="J106" s="52" t="n">
        <f aca="false">G106*H106*(1-I106)</f>
        <v>46750</v>
      </c>
      <c r="K106" s="49" t="n">
        <f aca="false">INDEX('🧮 Formulas'!$F$6:$F$8,MATCH(D106,'🧮 Formulas'!$E$6:$E$8,0))</f>
        <v>0.18</v>
      </c>
      <c r="L106" s="52" t="n">
        <f aca="false">J106*K106</f>
        <v>8415</v>
      </c>
      <c r="M106" s="47" t="n">
        <f aca="false">MONTH(B106)</f>
        <v>5</v>
      </c>
      <c r="N106" s="47" t="str">
        <f aca="false">TEXT(B106,"mmm")</f>
        <v>May</v>
      </c>
    </row>
    <row r="107" customFormat="false" ht="15" hidden="false" customHeight="false" outlineLevel="0" collapsed="false">
      <c r="A107" s="47" t="s">
        <v>311</v>
      </c>
      <c r="B107" s="51" t="n">
        <v>45790</v>
      </c>
      <c r="C107" s="47" t="s">
        <v>66</v>
      </c>
      <c r="D107" s="47" t="s">
        <v>128</v>
      </c>
      <c r="E107" s="47" t="s">
        <v>144</v>
      </c>
      <c r="F107" s="47" t="s">
        <v>141</v>
      </c>
      <c r="G107" s="47" t="n">
        <v>9</v>
      </c>
      <c r="H107" s="52" t="n">
        <v>180</v>
      </c>
      <c r="I107" s="49" t="n">
        <v>0.05</v>
      </c>
      <c r="J107" s="52" t="n">
        <f aca="false">G107*H107*(1-I107)</f>
        <v>1539</v>
      </c>
      <c r="K107" s="49" t="n">
        <f aca="false">INDEX('🧮 Formulas'!$F$6:$F$8,MATCH(D107,'🧮 Formulas'!$E$6:$E$8,0))</f>
        <v>0.3</v>
      </c>
      <c r="L107" s="52" t="n">
        <f aca="false">J107*K107</f>
        <v>461.7</v>
      </c>
      <c r="M107" s="47" t="n">
        <f aca="false">MONTH(B107)</f>
        <v>5</v>
      </c>
      <c r="N107" s="47" t="str">
        <f aca="false">TEXT(B107,"mmm")</f>
        <v>May</v>
      </c>
    </row>
    <row r="108" customFormat="false" ht="15" hidden="false" customHeight="false" outlineLevel="0" collapsed="false">
      <c r="A108" s="47" t="s">
        <v>316</v>
      </c>
      <c r="B108" s="51" t="n">
        <v>45790</v>
      </c>
      <c r="C108" s="47" t="s">
        <v>67</v>
      </c>
      <c r="D108" s="47" t="s">
        <v>124</v>
      </c>
      <c r="E108" s="47" t="s">
        <v>133</v>
      </c>
      <c r="F108" s="47" t="s">
        <v>134</v>
      </c>
      <c r="G108" s="47" t="n">
        <v>3</v>
      </c>
      <c r="H108" s="52" t="n">
        <v>22000</v>
      </c>
      <c r="I108" s="49" t="n">
        <v>0.15</v>
      </c>
      <c r="J108" s="52" t="n">
        <f aca="false">G108*H108*(1-I108)</f>
        <v>56100</v>
      </c>
      <c r="K108" s="49" t="n">
        <f aca="false">INDEX('🧮 Formulas'!$F$6:$F$8,MATCH(D108,'🧮 Formulas'!$E$6:$E$8,0))</f>
        <v>0.18</v>
      </c>
      <c r="L108" s="52" t="n">
        <f aca="false">J108*K108</f>
        <v>10098</v>
      </c>
      <c r="M108" s="47" t="n">
        <f aca="false">MONTH(B108)</f>
        <v>5</v>
      </c>
      <c r="N108" s="47" t="str">
        <f aca="false">TEXT(B108,"mmm")</f>
        <v>May</v>
      </c>
    </row>
    <row r="109" customFormat="false" ht="15" hidden="false" customHeight="false" outlineLevel="0" collapsed="false">
      <c r="A109" s="47" t="s">
        <v>254</v>
      </c>
      <c r="B109" s="51" t="n">
        <v>45793</v>
      </c>
      <c r="C109" s="47" t="s">
        <v>68</v>
      </c>
      <c r="D109" s="47" t="s">
        <v>128</v>
      </c>
      <c r="E109" s="47" t="s">
        <v>155</v>
      </c>
      <c r="F109" s="47" t="s">
        <v>126</v>
      </c>
      <c r="G109" s="47" t="n">
        <v>5</v>
      </c>
      <c r="H109" s="52" t="n">
        <v>250</v>
      </c>
      <c r="I109" s="49" t="n">
        <v>0.2</v>
      </c>
      <c r="J109" s="52" t="n">
        <f aca="false">G109*H109*(1-I109)</f>
        <v>1000</v>
      </c>
      <c r="K109" s="49" t="n">
        <f aca="false">INDEX('🧮 Formulas'!$F$6:$F$8,MATCH(D109,'🧮 Formulas'!$E$6:$E$8,0))</f>
        <v>0.3</v>
      </c>
      <c r="L109" s="52" t="n">
        <f aca="false">J109*K109</f>
        <v>300</v>
      </c>
      <c r="M109" s="47" t="n">
        <f aca="false">MONTH(B109)</f>
        <v>5</v>
      </c>
      <c r="N109" s="47" t="str">
        <f aca="false">TEXT(B109,"mmm")</f>
        <v>May</v>
      </c>
    </row>
    <row r="110" customFormat="false" ht="15" hidden="false" customHeight="false" outlineLevel="0" collapsed="false">
      <c r="A110" s="47" t="s">
        <v>334</v>
      </c>
      <c r="B110" s="51" t="n">
        <v>45793</v>
      </c>
      <c r="C110" s="47" t="s">
        <v>65</v>
      </c>
      <c r="D110" s="47" t="s">
        <v>124</v>
      </c>
      <c r="E110" s="47" t="s">
        <v>131</v>
      </c>
      <c r="F110" s="47" t="s">
        <v>126</v>
      </c>
      <c r="G110" s="47" t="n">
        <v>2</v>
      </c>
      <c r="H110" s="52" t="n">
        <v>55000</v>
      </c>
      <c r="I110" s="49" t="n">
        <v>0.2</v>
      </c>
      <c r="J110" s="52" t="n">
        <f aca="false">G110*H110*(1-I110)</f>
        <v>88000</v>
      </c>
      <c r="K110" s="49" t="n">
        <f aca="false">INDEX('🧮 Formulas'!$F$6:$F$8,MATCH(D110,'🧮 Formulas'!$E$6:$E$8,0))</f>
        <v>0.18</v>
      </c>
      <c r="L110" s="52" t="n">
        <f aca="false">J110*K110</f>
        <v>15840</v>
      </c>
      <c r="M110" s="47" t="n">
        <f aca="false">MONTH(B110)</f>
        <v>5</v>
      </c>
      <c r="N110" s="47" t="str">
        <f aca="false">TEXT(B110,"mmm")</f>
        <v>May</v>
      </c>
    </row>
    <row r="111" customFormat="false" ht="15" hidden="false" customHeight="false" outlineLevel="0" collapsed="false">
      <c r="A111" s="47" t="s">
        <v>420</v>
      </c>
      <c r="B111" s="51" t="n">
        <v>45793</v>
      </c>
      <c r="C111" s="47" t="s">
        <v>65</v>
      </c>
      <c r="D111" s="47" t="s">
        <v>124</v>
      </c>
      <c r="E111" s="47" t="s">
        <v>133</v>
      </c>
      <c r="F111" s="47" t="s">
        <v>126</v>
      </c>
      <c r="G111" s="47" t="n">
        <v>2</v>
      </c>
      <c r="H111" s="52" t="n">
        <v>22000</v>
      </c>
      <c r="I111" s="49" t="n">
        <v>0</v>
      </c>
      <c r="J111" s="52" t="n">
        <f aca="false">G111*H111*(1-I111)</f>
        <v>44000</v>
      </c>
      <c r="K111" s="49" t="n">
        <f aca="false">INDEX('🧮 Formulas'!$F$6:$F$8,MATCH(D111,'🧮 Formulas'!$E$6:$E$8,0))</f>
        <v>0.18</v>
      </c>
      <c r="L111" s="52" t="n">
        <f aca="false">J111*K111</f>
        <v>7920</v>
      </c>
      <c r="M111" s="47" t="n">
        <f aca="false">MONTH(B111)</f>
        <v>5</v>
      </c>
      <c r="N111" s="47" t="str">
        <f aca="false">TEXT(B111,"mmm")</f>
        <v>May</v>
      </c>
    </row>
    <row r="112" customFormat="false" ht="15" hidden="false" customHeight="false" outlineLevel="0" collapsed="false">
      <c r="A112" s="47" t="s">
        <v>364</v>
      </c>
      <c r="B112" s="51" t="n">
        <v>45797</v>
      </c>
      <c r="C112" s="47" t="s">
        <v>68</v>
      </c>
      <c r="D112" s="47" t="s">
        <v>124</v>
      </c>
      <c r="E112" s="47" t="s">
        <v>131</v>
      </c>
      <c r="F112" s="47" t="s">
        <v>141</v>
      </c>
      <c r="G112" s="47" t="n">
        <v>1</v>
      </c>
      <c r="H112" s="52" t="n">
        <v>55000</v>
      </c>
      <c r="I112" s="49" t="n">
        <v>0.1</v>
      </c>
      <c r="J112" s="52" t="n">
        <f aca="false">G112*H112*(1-I112)</f>
        <v>49500</v>
      </c>
      <c r="K112" s="49" t="n">
        <f aca="false">INDEX('🧮 Formulas'!$F$6:$F$8,MATCH(D112,'🧮 Formulas'!$E$6:$E$8,0))</f>
        <v>0.18</v>
      </c>
      <c r="L112" s="52" t="n">
        <f aca="false">J112*K112</f>
        <v>8910</v>
      </c>
      <c r="M112" s="47" t="n">
        <f aca="false">MONTH(B112)</f>
        <v>5</v>
      </c>
      <c r="N112" s="47" t="str">
        <f aca="false">TEXT(B112,"mmm")</f>
        <v>May</v>
      </c>
    </row>
    <row r="113" customFormat="false" ht="15" hidden="false" customHeight="false" outlineLevel="0" collapsed="false">
      <c r="A113" s="47" t="s">
        <v>362</v>
      </c>
      <c r="B113" s="51" t="n">
        <v>45797</v>
      </c>
      <c r="C113" s="47" t="s">
        <v>66</v>
      </c>
      <c r="D113" s="47" t="s">
        <v>136</v>
      </c>
      <c r="E113" s="47" t="s">
        <v>184</v>
      </c>
      <c r="F113" s="47" t="s">
        <v>141</v>
      </c>
      <c r="G113" s="47" t="n">
        <v>4</v>
      </c>
      <c r="H113" s="52" t="n">
        <v>1800</v>
      </c>
      <c r="I113" s="49" t="n">
        <v>0</v>
      </c>
      <c r="J113" s="52" t="n">
        <f aca="false">G113*H113*(1-I113)</f>
        <v>7200</v>
      </c>
      <c r="K113" s="49" t="n">
        <f aca="false">INDEX('🧮 Formulas'!$F$6:$F$8,MATCH(D113,'🧮 Formulas'!$E$6:$E$8,0))</f>
        <v>0.22</v>
      </c>
      <c r="L113" s="52" t="n">
        <f aca="false">J113*K113</f>
        <v>1584</v>
      </c>
      <c r="M113" s="47" t="n">
        <f aca="false">MONTH(B113)</f>
        <v>5</v>
      </c>
      <c r="N113" s="47" t="str">
        <f aca="false">TEXT(B113,"mmm")</f>
        <v>May</v>
      </c>
    </row>
    <row r="114" customFormat="false" ht="15" hidden="false" customHeight="false" outlineLevel="0" collapsed="false">
      <c r="A114" s="47" t="s">
        <v>353</v>
      </c>
      <c r="B114" s="51" t="n">
        <v>45798</v>
      </c>
      <c r="C114" s="47" t="s">
        <v>66</v>
      </c>
      <c r="D114" s="47" t="s">
        <v>128</v>
      </c>
      <c r="E114" s="47" t="s">
        <v>129</v>
      </c>
      <c r="F114" s="47" t="s">
        <v>126</v>
      </c>
      <c r="G114" s="47" t="n">
        <v>13</v>
      </c>
      <c r="H114" s="52" t="n">
        <v>120</v>
      </c>
      <c r="I114" s="49" t="n">
        <v>0</v>
      </c>
      <c r="J114" s="52" t="n">
        <f aca="false">G114*H114*(1-I114)</f>
        <v>1560</v>
      </c>
      <c r="K114" s="49" t="n">
        <f aca="false">INDEX('🧮 Formulas'!$F$6:$F$8,MATCH(D114,'🧮 Formulas'!$E$6:$E$8,0))</f>
        <v>0.3</v>
      </c>
      <c r="L114" s="52" t="n">
        <f aca="false">J114*K114</f>
        <v>468</v>
      </c>
      <c r="M114" s="47" t="n">
        <f aca="false">MONTH(B114)</f>
        <v>5</v>
      </c>
      <c r="N114" s="47" t="str">
        <f aca="false">TEXT(B114,"mmm")</f>
        <v>May</v>
      </c>
    </row>
    <row r="115" customFormat="false" ht="15" hidden="false" customHeight="false" outlineLevel="0" collapsed="false">
      <c r="A115" s="47" t="s">
        <v>317</v>
      </c>
      <c r="B115" s="51" t="n">
        <v>45798</v>
      </c>
      <c r="C115" s="47" t="s">
        <v>65</v>
      </c>
      <c r="D115" s="47" t="s">
        <v>124</v>
      </c>
      <c r="E115" s="47" t="s">
        <v>146</v>
      </c>
      <c r="F115" s="47" t="s">
        <v>134</v>
      </c>
      <c r="G115" s="47" t="n">
        <v>3</v>
      </c>
      <c r="H115" s="52" t="n">
        <v>14000</v>
      </c>
      <c r="I115" s="49" t="n">
        <v>0.15</v>
      </c>
      <c r="J115" s="52" t="n">
        <f aca="false">G115*H115*(1-I115)</f>
        <v>35700</v>
      </c>
      <c r="K115" s="49" t="n">
        <f aca="false">INDEX('🧮 Formulas'!$F$6:$F$8,MATCH(D115,'🧮 Formulas'!$E$6:$E$8,0))</f>
        <v>0.18</v>
      </c>
      <c r="L115" s="52" t="n">
        <f aca="false">J115*K115</f>
        <v>6426</v>
      </c>
      <c r="M115" s="47" t="n">
        <f aca="false">MONTH(B115)</f>
        <v>5</v>
      </c>
      <c r="N115" s="47" t="str">
        <f aca="false">TEXT(B115,"mmm")</f>
        <v>May</v>
      </c>
    </row>
    <row r="116" customFormat="false" ht="15" hidden="false" customHeight="false" outlineLevel="0" collapsed="false">
      <c r="A116" s="47" t="s">
        <v>304</v>
      </c>
      <c r="B116" s="51" t="n">
        <v>45800</v>
      </c>
      <c r="C116" s="47" t="s">
        <v>65</v>
      </c>
      <c r="D116" s="47" t="s">
        <v>128</v>
      </c>
      <c r="E116" s="47" t="s">
        <v>144</v>
      </c>
      <c r="F116" s="47" t="s">
        <v>134</v>
      </c>
      <c r="G116" s="47" t="n">
        <v>7</v>
      </c>
      <c r="H116" s="52" t="n">
        <v>180</v>
      </c>
      <c r="I116" s="49" t="n">
        <v>0.05</v>
      </c>
      <c r="J116" s="52" t="n">
        <f aca="false">G116*H116*(1-I116)</f>
        <v>1197</v>
      </c>
      <c r="K116" s="49" t="n">
        <f aca="false">INDEX('🧮 Formulas'!$F$6:$F$8,MATCH(D116,'🧮 Formulas'!$E$6:$E$8,0))</f>
        <v>0.3</v>
      </c>
      <c r="L116" s="52" t="n">
        <f aca="false">J116*K116</f>
        <v>359.1</v>
      </c>
      <c r="M116" s="47" t="n">
        <f aca="false">MONTH(B116)</f>
        <v>5</v>
      </c>
      <c r="N116" s="47" t="str">
        <f aca="false">TEXT(B116,"mmm")</f>
        <v>May</v>
      </c>
    </row>
    <row r="117" customFormat="false" ht="15" hidden="false" customHeight="false" outlineLevel="0" collapsed="false">
      <c r="A117" s="47" t="s">
        <v>410</v>
      </c>
      <c r="B117" s="51" t="n">
        <v>45800</v>
      </c>
      <c r="C117" s="47" t="s">
        <v>66</v>
      </c>
      <c r="D117" s="47" t="s">
        <v>136</v>
      </c>
      <c r="E117" s="47" t="s">
        <v>139</v>
      </c>
      <c r="F117" s="47" t="s">
        <v>134</v>
      </c>
      <c r="G117" s="47" t="n">
        <v>1</v>
      </c>
      <c r="H117" s="52" t="n">
        <v>6500</v>
      </c>
      <c r="I117" s="49" t="n">
        <v>0.15</v>
      </c>
      <c r="J117" s="52" t="n">
        <f aca="false">G117*H117*(1-I117)</f>
        <v>5525</v>
      </c>
      <c r="K117" s="49" t="n">
        <f aca="false">INDEX('🧮 Formulas'!$F$6:$F$8,MATCH(D117,'🧮 Formulas'!$E$6:$E$8,0))</f>
        <v>0.22</v>
      </c>
      <c r="L117" s="52" t="n">
        <f aca="false">J117*K117</f>
        <v>1215.5</v>
      </c>
      <c r="M117" s="47" t="n">
        <f aca="false">MONTH(B117)</f>
        <v>5</v>
      </c>
      <c r="N117" s="47" t="str">
        <f aca="false">TEXT(B117,"mmm")</f>
        <v>May</v>
      </c>
    </row>
    <row r="118" customFormat="false" ht="15" hidden="false" customHeight="false" outlineLevel="0" collapsed="false">
      <c r="A118" s="47" t="s">
        <v>363</v>
      </c>
      <c r="B118" s="51" t="n">
        <v>45802</v>
      </c>
      <c r="C118" s="47" t="s">
        <v>68</v>
      </c>
      <c r="D118" s="47" t="s">
        <v>128</v>
      </c>
      <c r="E118" s="47" t="s">
        <v>144</v>
      </c>
      <c r="F118" s="47" t="s">
        <v>141</v>
      </c>
      <c r="G118" s="47" t="n">
        <v>9</v>
      </c>
      <c r="H118" s="52" t="n">
        <v>180</v>
      </c>
      <c r="I118" s="49" t="n">
        <v>0.15</v>
      </c>
      <c r="J118" s="52" t="n">
        <f aca="false">G118*H118*(1-I118)</f>
        <v>1377</v>
      </c>
      <c r="K118" s="49" t="n">
        <f aca="false">INDEX('🧮 Formulas'!$F$6:$F$8,MATCH(D118,'🧮 Formulas'!$E$6:$E$8,0))</f>
        <v>0.3</v>
      </c>
      <c r="L118" s="52" t="n">
        <f aca="false">J118*K118</f>
        <v>413.1</v>
      </c>
      <c r="M118" s="47" t="n">
        <f aca="false">MONTH(B118)</f>
        <v>5</v>
      </c>
      <c r="N118" s="47" t="str">
        <f aca="false">TEXT(B118,"mmm")</f>
        <v>May</v>
      </c>
    </row>
    <row r="119" customFormat="false" ht="15" hidden="false" customHeight="false" outlineLevel="0" collapsed="false">
      <c r="A119" s="47" t="s">
        <v>282</v>
      </c>
      <c r="B119" s="51" t="n">
        <v>45805</v>
      </c>
      <c r="C119" s="47" t="s">
        <v>66</v>
      </c>
      <c r="D119" s="47" t="s">
        <v>128</v>
      </c>
      <c r="E119" s="47" t="s">
        <v>144</v>
      </c>
      <c r="F119" s="47" t="s">
        <v>134</v>
      </c>
      <c r="G119" s="47" t="n">
        <v>3</v>
      </c>
      <c r="H119" s="52" t="n">
        <v>180</v>
      </c>
      <c r="I119" s="49" t="n">
        <v>0</v>
      </c>
      <c r="J119" s="52" t="n">
        <f aca="false">G119*H119*(1-I119)</f>
        <v>540</v>
      </c>
      <c r="K119" s="49" t="n">
        <f aca="false">INDEX('🧮 Formulas'!$F$6:$F$8,MATCH(D119,'🧮 Formulas'!$E$6:$E$8,0))</f>
        <v>0.3</v>
      </c>
      <c r="L119" s="52" t="n">
        <f aca="false">J119*K119</f>
        <v>162</v>
      </c>
      <c r="M119" s="47" t="n">
        <f aca="false">MONTH(B119)</f>
        <v>5</v>
      </c>
      <c r="N119" s="47" t="str">
        <f aca="false">TEXT(B119,"mmm")</f>
        <v>May</v>
      </c>
    </row>
    <row r="120" customFormat="false" ht="15" hidden="false" customHeight="false" outlineLevel="0" collapsed="false">
      <c r="A120" s="47" t="s">
        <v>392</v>
      </c>
      <c r="B120" s="51" t="n">
        <v>45807</v>
      </c>
      <c r="C120" s="47" t="s">
        <v>67</v>
      </c>
      <c r="D120" s="47" t="s">
        <v>128</v>
      </c>
      <c r="E120" s="47" t="s">
        <v>144</v>
      </c>
      <c r="F120" s="47" t="s">
        <v>134</v>
      </c>
      <c r="G120" s="47" t="n">
        <v>13</v>
      </c>
      <c r="H120" s="52" t="n">
        <v>180</v>
      </c>
      <c r="I120" s="49" t="n">
        <v>0.1</v>
      </c>
      <c r="J120" s="52" t="n">
        <f aca="false">G120*H120*(1-I120)</f>
        <v>2106</v>
      </c>
      <c r="K120" s="49" t="n">
        <f aca="false">INDEX('🧮 Formulas'!$F$6:$F$8,MATCH(D120,'🧮 Formulas'!$E$6:$E$8,0))</f>
        <v>0.3</v>
      </c>
      <c r="L120" s="52" t="n">
        <f aca="false">J120*K120</f>
        <v>631.8</v>
      </c>
      <c r="M120" s="47" t="n">
        <f aca="false">MONTH(B120)</f>
        <v>5</v>
      </c>
      <c r="N120" s="47" t="str">
        <f aca="false">TEXT(B120,"mmm")</f>
        <v>May</v>
      </c>
    </row>
    <row r="121" customFormat="false" ht="15" hidden="false" customHeight="false" outlineLevel="0" collapsed="false">
      <c r="A121" s="47" t="s">
        <v>214</v>
      </c>
      <c r="B121" s="51" t="n">
        <v>45808</v>
      </c>
      <c r="C121" s="47" t="s">
        <v>66</v>
      </c>
      <c r="D121" s="47" t="s">
        <v>136</v>
      </c>
      <c r="E121" s="47" t="s">
        <v>160</v>
      </c>
      <c r="F121" s="47" t="s">
        <v>134</v>
      </c>
      <c r="G121" s="47" t="n">
        <v>1</v>
      </c>
      <c r="H121" s="52" t="n">
        <v>8500</v>
      </c>
      <c r="I121" s="49" t="n">
        <v>0.2</v>
      </c>
      <c r="J121" s="52" t="n">
        <f aca="false">G121*H121*(1-I121)</f>
        <v>6800</v>
      </c>
      <c r="K121" s="49" t="n">
        <f aca="false">INDEX('🧮 Formulas'!$F$6:$F$8,MATCH(D121,'🧮 Formulas'!$E$6:$E$8,0))</f>
        <v>0.22</v>
      </c>
      <c r="L121" s="52" t="n">
        <f aca="false">J121*K121</f>
        <v>1496</v>
      </c>
      <c r="M121" s="47" t="n">
        <f aca="false">MONTH(B121)</f>
        <v>5</v>
      </c>
      <c r="N121" s="47" t="str">
        <f aca="false">TEXT(B121,"mmm")</f>
        <v>May</v>
      </c>
    </row>
    <row r="122" customFormat="false" ht="15" hidden="false" customHeight="false" outlineLevel="0" collapsed="false">
      <c r="A122" s="47" t="s">
        <v>263</v>
      </c>
      <c r="B122" s="51" t="n">
        <v>45811</v>
      </c>
      <c r="C122" s="47" t="s">
        <v>67</v>
      </c>
      <c r="D122" s="47" t="s">
        <v>128</v>
      </c>
      <c r="E122" s="47" t="s">
        <v>129</v>
      </c>
      <c r="F122" s="47" t="s">
        <v>141</v>
      </c>
      <c r="G122" s="47" t="n">
        <v>13</v>
      </c>
      <c r="H122" s="52" t="n">
        <v>120</v>
      </c>
      <c r="I122" s="49" t="n">
        <v>0.1</v>
      </c>
      <c r="J122" s="52" t="n">
        <f aca="false">G122*H122*(1-I122)</f>
        <v>1404</v>
      </c>
      <c r="K122" s="49" t="n">
        <f aca="false">INDEX('🧮 Formulas'!$F$6:$F$8,MATCH(D122,'🧮 Formulas'!$E$6:$E$8,0))</f>
        <v>0.3</v>
      </c>
      <c r="L122" s="52" t="n">
        <f aca="false">J122*K122</f>
        <v>421.2</v>
      </c>
      <c r="M122" s="47" t="n">
        <f aca="false">MONTH(B122)</f>
        <v>6</v>
      </c>
      <c r="N122" s="47" t="str">
        <f aca="false">TEXT(B122,"mmm")</f>
        <v>Jun</v>
      </c>
    </row>
    <row r="123" customFormat="false" ht="15" hidden="false" customHeight="false" outlineLevel="0" collapsed="false">
      <c r="A123" s="47" t="s">
        <v>224</v>
      </c>
      <c r="B123" s="51" t="n">
        <v>45811</v>
      </c>
      <c r="C123" s="47" t="s">
        <v>67</v>
      </c>
      <c r="D123" s="47" t="s">
        <v>136</v>
      </c>
      <c r="E123" s="47" t="s">
        <v>184</v>
      </c>
      <c r="F123" s="47" t="s">
        <v>141</v>
      </c>
      <c r="G123" s="47" t="n">
        <v>5</v>
      </c>
      <c r="H123" s="52" t="n">
        <v>1800</v>
      </c>
      <c r="I123" s="49" t="n">
        <v>0.15</v>
      </c>
      <c r="J123" s="52" t="n">
        <f aca="false">G123*H123*(1-I123)</f>
        <v>7650</v>
      </c>
      <c r="K123" s="49" t="n">
        <f aca="false">INDEX('🧮 Formulas'!$F$6:$F$8,MATCH(D123,'🧮 Formulas'!$E$6:$E$8,0))</f>
        <v>0.22</v>
      </c>
      <c r="L123" s="52" t="n">
        <f aca="false">J123*K123</f>
        <v>1683</v>
      </c>
      <c r="M123" s="47" t="n">
        <f aca="false">MONTH(B123)</f>
        <v>6</v>
      </c>
      <c r="N123" s="47" t="str">
        <f aca="false">TEXT(B123,"mmm")</f>
        <v>Jun</v>
      </c>
    </row>
    <row r="124" customFormat="false" ht="15" hidden="false" customHeight="false" outlineLevel="0" collapsed="false">
      <c r="A124" s="47" t="s">
        <v>347</v>
      </c>
      <c r="B124" s="51" t="n">
        <v>45812</v>
      </c>
      <c r="C124" s="47" t="s">
        <v>65</v>
      </c>
      <c r="D124" s="47" t="s">
        <v>124</v>
      </c>
      <c r="E124" s="47" t="s">
        <v>125</v>
      </c>
      <c r="F124" s="47" t="s">
        <v>141</v>
      </c>
      <c r="G124" s="47" t="n">
        <v>2</v>
      </c>
      <c r="H124" s="52" t="n">
        <v>3500</v>
      </c>
      <c r="I124" s="49" t="n">
        <v>0.15</v>
      </c>
      <c r="J124" s="52" t="n">
        <f aca="false">G124*H124*(1-I124)</f>
        <v>5950</v>
      </c>
      <c r="K124" s="49" t="n">
        <f aca="false">INDEX('🧮 Formulas'!$F$6:$F$8,MATCH(D124,'🧮 Formulas'!$E$6:$E$8,0))</f>
        <v>0.18</v>
      </c>
      <c r="L124" s="52" t="n">
        <f aca="false">J124*K124</f>
        <v>1071</v>
      </c>
      <c r="M124" s="47" t="n">
        <f aca="false">MONTH(B124)</f>
        <v>6</v>
      </c>
      <c r="N124" s="47" t="str">
        <f aca="false">TEXT(B124,"mmm")</f>
        <v>Jun</v>
      </c>
    </row>
    <row r="125" customFormat="false" ht="15" hidden="false" customHeight="false" outlineLevel="0" collapsed="false">
      <c r="A125" s="47" t="s">
        <v>262</v>
      </c>
      <c r="B125" s="51" t="n">
        <v>45818</v>
      </c>
      <c r="C125" s="47" t="s">
        <v>65</v>
      </c>
      <c r="D125" s="47" t="s">
        <v>124</v>
      </c>
      <c r="E125" s="47" t="s">
        <v>131</v>
      </c>
      <c r="F125" s="47" t="s">
        <v>126</v>
      </c>
      <c r="G125" s="47" t="n">
        <v>1</v>
      </c>
      <c r="H125" s="52" t="n">
        <v>55000</v>
      </c>
      <c r="I125" s="49" t="n">
        <v>0.15</v>
      </c>
      <c r="J125" s="52" t="n">
        <f aca="false">G125*H125*(1-I125)</f>
        <v>46750</v>
      </c>
      <c r="K125" s="49" t="n">
        <f aca="false">INDEX('🧮 Formulas'!$F$6:$F$8,MATCH(D125,'🧮 Formulas'!$E$6:$E$8,0))</f>
        <v>0.18</v>
      </c>
      <c r="L125" s="52" t="n">
        <f aca="false">J125*K125</f>
        <v>8415</v>
      </c>
      <c r="M125" s="47" t="n">
        <f aca="false">MONTH(B125)</f>
        <v>6</v>
      </c>
      <c r="N125" s="47" t="str">
        <f aca="false">TEXT(B125,"mmm")</f>
        <v>Jun</v>
      </c>
    </row>
    <row r="126" customFormat="false" ht="15" hidden="false" customHeight="false" outlineLevel="0" collapsed="false">
      <c r="A126" s="47" t="s">
        <v>290</v>
      </c>
      <c r="B126" s="51" t="n">
        <v>45818</v>
      </c>
      <c r="C126" s="47" t="s">
        <v>68</v>
      </c>
      <c r="D126" s="47" t="s">
        <v>136</v>
      </c>
      <c r="E126" s="47" t="s">
        <v>139</v>
      </c>
      <c r="F126" s="47" t="s">
        <v>141</v>
      </c>
      <c r="G126" s="47" t="n">
        <v>6</v>
      </c>
      <c r="H126" s="52" t="n">
        <v>6500</v>
      </c>
      <c r="I126" s="49" t="n">
        <v>0</v>
      </c>
      <c r="J126" s="52" t="n">
        <f aca="false">G126*H126*(1-I126)</f>
        <v>39000</v>
      </c>
      <c r="K126" s="49" t="n">
        <f aca="false">INDEX('🧮 Formulas'!$F$6:$F$8,MATCH(D126,'🧮 Formulas'!$E$6:$E$8,0))</f>
        <v>0.22</v>
      </c>
      <c r="L126" s="52" t="n">
        <f aca="false">J126*K126</f>
        <v>8580</v>
      </c>
      <c r="M126" s="47" t="n">
        <f aca="false">MONTH(B126)</f>
        <v>6</v>
      </c>
      <c r="N126" s="47" t="str">
        <f aca="false">TEXT(B126,"mmm")</f>
        <v>Jun</v>
      </c>
    </row>
    <row r="127" customFormat="false" ht="15" hidden="false" customHeight="false" outlineLevel="0" collapsed="false">
      <c r="A127" s="47" t="s">
        <v>252</v>
      </c>
      <c r="B127" s="51" t="n">
        <v>45819</v>
      </c>
      <c r="C127" s="47" t="s">
        <v>67</v>
      </c>
      <c r="D127" s="47" t="s">
        <v>124</v>
      </c>
      <c r="E127" s="47" t="s">
        <v>133</v>
      </c>
      <c r="F127" s="47" t="s">
        <v>141</v>
      </c>
      <c r="G127" s="47" t="n">
        <v>1</v>
      </c>
      <c r="H127" s="52" t="n">
        <v>22000</v>
      </c>
      <c r="I127" s="49" t="n">
        <v>0.1</v>
      </c>
      <c r="J127" s="52" t="n">
        <f aca="false">G127*H127*(1-I127)</f>
        <v>19800</v>
      </c>
      <c r="K127" s="49" t="n">
        <f aca="false">INDEX('🧮 Formulas'!$F$6:$F$8,MATCH(D127,'🧮 Formulas'!$E$6:$E$8,0))</f>
        <v>0.18</v>
      </c>
      <c r="L127" s="52" t="n">
        <f aca="false">J127*K127</f>
        <v>3564</v>
      </c>
      <c r="M127" s="47" t="n">
        <f aca="false">MONTH(B127)</f>
        <v>6</v>
      </c>
      <c r="N127" s="47" t="str">
        <f aca="false">TEXT(B127,"mmm")</f>
        <v>Jun</v>
      </c>
    </row>
    <row r="128" customFormat="false" ht="15" hidden="false" customHeight="false" outlineLevel="0" collapsed="false">
      <c r="A128" s="47" t="s">
        <v>413</v>
      </c>
      <c r="B128" s="51" t="n">
        <v>45822</v>
      </c>
      <c r="C128" s="47" t="s">
        <v>66</v>
      </c>
      <c r="D128" s="47" t="s">
        <v>136</v>
      </c>
      <c r="E128" s="47" t="s">
        <v>184</v>
      </c>
      <c r="F128" s="47" t="s">
        <v>141</v>
      </c>
      <c r="G128" s="47" t="n">
        <v>4</v>
      </c>
      <c r="H128" s="52" t="n">
        <v>1800</v>
      </c>
      <c r="I128" s="49" t="n">
        <v>0</v>
      </c>
      <c r="J128" s="52" t="n">
        <f aca="false">G128*H128*(1-I128)</f>
        <v>7200</v>
      </c>
      <c r="K128" s="49" t="n">
        <f aca="false">INDEX('🧮 Formulas'!$F$6:$F$8,MATCH(D128,'🧮 Formulas'!$E$6:$E$8,0))</f>
        <v>0.22</v>
      </c>
      <c r="L128" s="52" t="n">
        <f aca="false">J128*K128</f>
        <v>1584</v>
      </c>
      <c r="M128" s="47" t="n">
        <f aca="false">MONTH(B128)</f>
        <v>6</v>
      </c>
      <c r="N128" s="47" t="str">
        <f aca="false">TEXT(B128,"mmm")</f>
        <v>Jun</v>
      </c>
    </row>
    <row r="129" customFormat="false" ht="15" hidden="false" customHeight="false" outlineLevel="0" collapsed="false">
      <c r="A129" s="47" t="s">
        <v>183</v>
      </c>
      <c r="B129" s="51" t="n">
        <v>45823</v>
      </c>
      <c r="C129" s="47" t="s">
        <v>67</v>
      </c>
      <c r="D129" s="47" t="s">
        <v>136</v>
      </c>
      <c r="E129" s="47" t="s">
        <v>184</v>
      </c>
      <c r="F129" s="47" t="s">
        <v>126</v>
      </c>
      <c r="G129" s="47" t="n">
        <v>6</v>
      </c>
      <c r="H129" s="52" t="n">
        <v>1800</v>
      </c>
      <c r="I129" s="49" t="n">
        <v>0</v>
      </c>
      <c r="J129" s="52" t="n">
        <f aca="false">G129*H129*(1-I129)</f>
        <v>10800</v>
      </c>
      <c r="K129" s="49" t="n">
        <f aca="false">INDEX('🧮 Formulas'!$F$6:$F$8,MATCH(D129,'🧮 Formulas'!$E$6:$E$8,0))</f>
        <v>0.22</v>
      </c>
      <c r="L129" s="52" t="n">
        <f aca="false">J129*K129</f>
        <v>2376</v>
      </c>
      <c r="M129" s="47" t="n">
        <f aca="false">MONTH(B129)</f>
        <v>6</v>
      </c>
      <c r="N129" s="47" t="str">
        <f aca="false">TEXT(B129,"mmm")</f>
        <v>Jun</v>
      </c>
    </row>
    <row r="130" customFormat="false" ht="15" hidden="false" customHeight="false" outlineLevel="0" collapsed="false">
      <c r="A130" s="47" t="s">
        <v>132</v>
      </c>
      <c r="B130" s="51" t="n">
        <v>45823</v>
      </c>
      <c r="C130" s="47" t="s">
        <v>66</v>
      </c>
      <c r="D130" s="47" t="s">
        <v>124</v>
      </c>
      <c r="E130" s="47" t="s">
        <v>133</v>
      </c>
      <c r="F130" s="47" t="s">
        <v>134</v>
      </c>
      <c r="G130" s="47" t="n">
        <v>2</v>
      </c>
      <c r="H130" s="52" t="n">
        <v>22000</v>
      </c>
      <c r="I130" s="49" t="n">
        <v>0.15</v>
      </c>
      <c r="J130" s="52" t="n">
        <f aca="false">G130*H130*(1-I130)</f>
        <v>37400</v>
      </c>
      <c r="K130" s="49" t="n">
        <f aca="false">INDEX('🧮 Formulas'!$F$6:$F$8,MATCH(D130,'🧮 Formulas'!$E$6:$E$8,0))</f>
        <v>0.18</v>
      </c>
      <c r="L130" s="52" t="n">
        <f aca="false">J130*K130</f>
        <v>6732</v>
      </c>
      <c r="M130" s="47" t="n">
        <f aca="false">MONTH(B130)</f>
        <v>6</v>
      </c>
      <c r="N130" s="47" t="str">
        <f aca="false">TEXT(B130,"mmm")</f>
        <v>Jun</v>
      </c>
    </row>
    <row r="131" customFormat="false" ht="15" hidden="false" customHeight="false" outlineLevel="0" collapsed="false">
      <c r="A131" s="47" t="s">
        <v>348</v>
      </c>
      <c r="B131" s="51" t="n">
        <v>45824</v>
      </c>
      <c r="C131" s="47" t="s">
        <v>65</v>
      </c>
      <c r="D131" s="47" t="s">
        <v>136</v>
      </c>
      <c r="E131" s="47" t="s">
        <v>137</v>
      </c>
      <c r="F131" s="47" t="s">
        <v>126</v>
      </c>
      <c r="G131" s="47" t="n">
        <v>6</v>
      </c>
      <c r="H131" s="52" t="n">
        <v>12000</v>
      </c>
      <c r="I131" s="49" t="n">
        <v>0</v>
      </c>
      <c r="J131" s="52" t="n">
        <f aca="false">G131*H131*(1-I131)</f>
        <v>72000</v>
      </c>
      <c r="K131" s="49" t="n">
        <f aca="false">INDEX('🧮 Formulas'!$F$6:$F$8,MATCH(D131,'🧮 Formulas'!$E$6:$E$8,0))</f>
        <v>0.22</v>
      </c>
      <c r="L131" s="52" t="n">
        <f aca="false">J131*K131</f>
        <v>15840</v>
      </c>
      <c r="M131" s="47" t="n">
        <f aca="false">MONTH(B131)</f>
        <v>6</v>
      </c>
      <c r="N131" s="47" t="str">
        <f aca="false">TEXT(B131,"mmm")</f>
        <v>Jun</v>
      </c>
    </row>
    <row r="132" customFormat="false" ht="15" hidden="false" customHeight="false" outlineLevel="0" collapsed="false">
      <c r="A132" s="47" t="s">
        <v>203</v>
      </c>
      <c r="B132" s="51" t="n">
        <v>45828</v>
      </c>
      <c r="C132" s="47" t="s">
        <v>66</v>
      </c>
      <c r="D132" s="47" t="s">
        <v>128</v>
      </c>
      <c r="E132" s="47" t="s">
        <v>129</v>
      </c>
      <c r="F132" s="47" t="s">
        <v>126</v>
      </c>
      <c r="G132" s="47" t="n">
        <v>2</v>
      </c>
      <c r="H132" s="52" t="n">
        <v>120</v>
      </c>
      <c r="I132" s="49" t="n">
        <v>0.15</v>
      </c>
      <c r="J132" s="52" t="n">
        <f aca="false">G132*H132*(1-I132)</f>
        <v>204</v>
      </c>
      <c r="K132" s="49" t="n">
        <f aca="false">INDEX('🧮 Formulas'!$F$6:$F$8,MATCH(D132,'🧮 Formulas'!$E$6:$E$8,0))</f>
        <v>0.3</v>
      </c>
      <c r="L132" s="52" t="n">
        <f aca="false">J132*K132</f>
        <v>61.2</v>
      </c>
      <c r="M132" s="47" t="n">
        <f aca="false">MONTH(B132)</f>
        <v>6</v>
      </c>
      <c r="N132" s="47" t="str">
        <f aca="false">TEXT(B132,"mmm")</f>
        <v>Jun</v>
      </c>
    </row>
    <row r="133" customFormat="false" ht="15" hidden="false" customHeight="false" outlineLevel="0" collapsed="false">
      <c r="A133" s="47" t="s">
        <v>307</v>
      </c>
      <c r="B133" s="51" t="n">
        <v>45828</v>
      </c>
      <c r="C133" s="47" t="s">
        <v>66</v>
      </c>
      <c r="D133" s="47" t="s">
        <v>136</v>
      </c>
      <c r="E133" s="47" t="s">
        <v>160</v>
      </c>
      <c r="F133" s="47" t="s">
        <v>126</v>
      </c>
      <c r="G133" s="47" t="n">
        <v>5</v>
      </c>
      <c r="H133" s="52" t="n">
        <v>8500</v>
      </c>
      <c r="I133" s="49" t="n">
        <v>0.05</v>
      </c>
      <c r="J133" s="52" t="n">
        <f aca="false">G133*H133*(1-I133)</f>
        <v>40375</v>
      </c>
      <c r="K133" s="49" t="n">
        <f aca="false">INDEX('🧮 Formulas'!$F$6:$F$8,MATCH(D133,'🧮 Formulas'!$E$6:$E$8,0))</f>
        <v>0.22</v>
      </c>
      <c r="L133" s="52" t="n">
        <f aca="false">J133*K133</f>
        <v>8882.5</v>
      </c>
      <c r="M133" s="47" t="n">
        <f aca="false">MONTH(B133)</f>
        <v>6</v>
      </c>
      <c r="N133" s="47" t="str">
        <f aca="false">TEXT(B133,"mmm")</f>
        <v>Jun</v>
      </c>
    </row>
    <row r="134" customFormat="false" ht="15" hidden="false" customHeight="false" outlineLevel="0" collapsed="false">
      <c r="A134" s="47" t="s">
        <v>358</v>
      </c>
      <c r="B134" s="51" t="n">
        <v>45829</v>
      </c>
      <c r="C134" s="47" t="s">
        <v>67</v>
      </c>
      <c r="D134" s="47" t="s">
        <v>128</v>
      </c>
      <c r="E134" s="47" t="s">
        <v>149</v>
      </c>
      <c r="F134" s="47" t="s">
        <v>141</v>
      </c>
      <c r="G134" s="47" t="n">
        <v>6</v>
      </c>
      <c r="H134" s="52" t="n">
        <v>450</v>
      </c>
      <c r="I134" s="49" t="n">
        <v>0</v>
      </c>
      <c r="J134" s="52" t="n">
        <f aca="false">G134*H134*(1-I134)</f>
        <v>2700</v>
      </c>
      <c r="K134" s="49" t="n">
        <f aca="false">INDEX('🧮 Formulas'!$F$6:$F$8,MATCH(D134,'🧮 Formulas'!$E$6:$E$8,0))</f>
        <v>0.3</v>
      </c>
      <c r="L134" s="52" t="n">
        <f aca="false">J134*K134</f>
        <v>810</v>
      </c>
      <c r="M134" s="47" t="n">
        <f aca="false">MONTH(B134)</f>
        <v>6</v>
      </c>
      <c r="N134" s="47" t="str">
        <f aca="false">TEXT(B134,"mmm")</f>
        <v>Jun</v>
      </c>
    </row>
    <row r="135" customFormat="false" ht="15" hidden="false" customHeight="false" outlineLevel="0" collapsed="false">
      <c r="A135" s="47" t="s">
        <v>267</v>
      </c>
      <c r="B135" s="51" t="n">
        <v>45830</v>
      </c>
      <c r="C135" s="47" t="s">
        <v>65</v>
      </c>
      <c r="D135" s="47" t="s">
        <v>124</v>
      </c>
      <c r="E135" s="47" t="s">
        <v>146</v>
      </c>
      <c r="F135" s="47" t="s">
        <v>134</v>
      </c>
      <c r="G135" s="47" t="n">
        <v>4</v>
      </c>
      <c r="H135" s="52" t="n">
        <v>14000</v>
      </c>
      <c r="I135" s="49" t="n">
        <v>0.05</v>
      </c>
      <c r="J135" s="52" t="n">
        <f aca="false">G135*H135*(1-I135)</f>
        <v>53200</v>
      </c>
      <c r="K135" s="49" t="n">
        <f aca="false">INDEX('🧮 Formulas'!$F$6:$F$8,MATCH(D135,'🧮 Formulas'!$E$6:$E$8,0))</f>
        <v>0.18</v>
      </c>
      <c r="L135" s="52" t="n">
        <f aca="false">J135*K135</f>
        <v>9576</v>
      </c>
      <c r="M135" s="47" t="n">
        <f aca="false">MONTH(B135)</f>
        <v>6</v>
      </c>
      <c r="N135" s="47" t="str">
        <f aca="false">TEXT(B135,"mmm")</f>
        <v>Jun</v>
      </c>
    </row>
    <row r="136" customFormat="false" ht="15" hidden="false" customHeight="false" outlineLevel="0" collapsed="false">
      <c r="A136" s="47" t="s">
        <v>342</v>
      </c>
      <c r="B136" s="51" t="n">
        <v>45831</v>
      </c>
      <c r="C136" s="47" t="s">
        <v>65</v>
      </c>
      <c r="D136" s="47" t="s">
        <v>128</v>
      </c>
      <c r="E136" s="47" t="s">
        <v>144</v>
      </c>
      <c r="F136" s="47" t="s">
        <v>141</v>
      </c>
      <c r="G136" s="47" t="n">
        <v>8</v>
      </c>
      <c r="H136" s="52" t="n">
        <v>180</v>
      </c>
      <c r="I136" s="49" t="n">
        <v>0.2</v>
      </c>
      <c r="J136" s="52" t="n">
        <f aca="false">G136*H136*(1-I136)</f>
        <v>1152</v>
      </c>
      <c r="K136" s="49" t="n">
        <f aca="false">INDEX('🧮 Formulas'!$F$6:$F$8,MATCH(D136,'🧮 Formulas'!$E$6:$E$8,0))</f>
        <v>0.3</v>
      </c>
      <c r="L136" s="52" t="n">
        <f aca="false">J136*K136</f>
        <v>345.6</v>
      </c>
      <c r="M136" s="47" t="n">
        <f aca="false">MONTH(B136)</f>
        <v>6</v>
      </c>
      <c r="N136" s="47" t="str">
        <f aca="false">TEXT(B136,"mmm")</f>
        <v>Jun</v>
      </c>
    </row>
    <row r="137" customFormat="false" ht="15" hidden="false" customHeight="false" outlineLevel="0" collapsed="false">
      <c r="A137" s="47" t="s">
        <v>352</v>
      </c>
      <c r="B137" s="51" t="n">
        <v>45835</v>
      </c>
      <c r="C137" s="47" t="s">
        <v>65</v>
      </c>
      <c r="D137" s="47" t="s">
        <v>128</v>
      </c>
      <c r="E137" s="47" t="s">
        <v>155</v>
      </c>
      <c r="F137" s="47" t="s">
        <v>141</v>
      </c>
      <c r="G137" s="47" t="n">
        <v>12</v>
      </c>
      <c r="H137" s="52" t="n">
        <v>250</v>
      </c>
      <c r="I137" s="49" t="n">
        <v>0.15</v>
      </c>
      <c r="J137" s="52" t="n">
        <f aca="false">G137*H137*(1-I137)</f>
        <v>2550</v>
      </c>
      <c r="K137" s="49" t="n">
        <f aca="false">INDEX('🧮 Formulas'!$F$6:$F$8,MATCH(D137,'🧮 Formulas'!$E$6:$E$8,0))</f>
        <v>0.3</v>
      </c>
      <c r="L137" s="52" t="n">
        <f aca="false">J137*K137</f>
        <v>765</v>
      </c>
      <c r="M137" s="47" t="n">
        <f aca="false">MONTH(B137)</f>
        <v>6</v>
      </c>
      <c r="N137" s="47" t="str">
        <f aca="false">TEXT(B137,"mmm")</f>
        <v>Jun</v>
      </c>
    </row>
    <row r="138" customFormat="false" ht="15" hidden="false" customHeight="false" outlineLevel="0" collapsed="false">
      <c r="A138" s="47" t="s">
        <v>404</v>
      </c>
      <c r="B138" s="51" t="n">
        <v>45837</v>
      </c>
      <c r="C138" s="47" t="s">
        <v>65</v>
      </c>
      <c r="D138" s="47" t="s">
        <v>124</v>
      </c>
      <c r="E138" s="47" t="s">
        <v>125</v>
      </c>
      <c r="F138" s="47" t="s">
        <v>126</v>
      </c>
      <c r="G138" s="47" t="n">
        <v>3</v>
      </c>
      <c r="H138" s="52" t="n">
        <v>3500</v>
      </c>
      <c r="I138" s="49" t="n">
        <v>0</v>
      </c>
      <c r="J138" s="52" t="n">
        <f aca="false">G138*H138*(1-I138)</f>
        <v>10500</v>
      </c>
      <c r="K138" s="49" t="n">
        <f aca="false">INDEX('🧮 Formulas'!$F$6:$F$8,MATCH(D138,'🧮 Formulas'!$E$6:$E$8,0))</f>
        <v>0.18</v>
      </c>
      <c r="L138" s="52" t="n">
        <f aca="false">J138*K138</f>
        <v>1890</v>
      </c>
      <c r="M138" s="47" t="n">
        <f aca="false">MONTH(B138)</f>
        <v>6</v>
      </c>
      <c r="N138" s="47" t="str">
        <f aca="false">TEXT(B138,"mmm")</f>
        <v>Jun</v>
      </c>
    </row>
    <row r="139" customFormat="false" ht="15" hidden="false" customHeight="false" outlineLevel="0" collapsed="false">
      <c r="A139" s="47" t="s">
        <v>429</v>
      </c>
      <c r="B139" s="51" t="n">
        <v>45838</v>
      </c>
      <c r="C139" s="47" t="s">
        <v>68</v>
      </c>
      <c r="D139" s="47" t="s">
        <v>136</v>
      </c>
      <c r="E139" s="47" t="s">
        <v>184</v>
      </c>
      <c r="F139" s="47" t="s">
        <v>134</v>
      </c>
      <c r="G139" s="47" t="n">
        <v>1</v>
      </c>
      <c r="H139" s="52" t="n">
        <v>1800</v>
      </c>
      <c r="I139" s="49" t="n">
        <v>0.2</v>
      </c>
      <c r="J139" s="52" t="n">
        <f aca="false">G139*H139*(1-I139)</f>
        <v>1440</v>
      </c>
      <c r="K139" s="49" t="n">
        <f aca="false">INDEX('🧮 Formulas'!$F$6:$F$8,MATCH(D139,'🧮 Formulas'!$E$6:$E$8,0))</f>
        <v>0.22</v>
      </c>
      <c r="L139" s="52" t="n">
        <f aca="false">J139*K139</f>
        <v>316.8</v>
      </c>
      <c r="M139" s="47" t="n">
        <f aca="false">MONTH(B139)</f>
        <v>6</v>
      </c>
      <c r="N139" s="47" t="str">
        <f aca="false">TEXT(B139,"mmm")</f>
        <v>Jun</v>
      </c>
    </row>
    <row r="140" customFormat="false" ht="15" hidden="false" customHeight="false" outlineLevel="0" collapsed="false">
      <c r="A140" s="47" t="s">
        <v>374</v>
      </c>
      <c r="B140" s="51" t="n">
        <v>45841</v>
      </c>
      <c r="C140" s="47" t="s">
        <v>66</v>
      </c>
      <c r="D140" s="47" t="s">
        <v>124</v>
      </c>
      <c r="E140" s="47" t="s">
        <v>125</v>
      </c>
      <c r="F140" s="47" t="s">
        <v>141</v>
      </c>
      <c r="G140" s="47" t="n">
        <v>1</v>
      </c>
      <c r="H140" s="52" t="n">
        <v>3500</v>
      </c>
      <c r="I140" s="49" t="n">
        <v>0</v>
      </c>
      <c r="J140" s="52" t="n">
        <f aca="false">G140*H140*(1-I140)</f>
        <v>3500</v>
      </c>
      <c r="K140" s="49" t="n">
        <f aca="false">INDEX('🧮 Formulas'!$F$6:$F$8,MATCH(D140,'🧮 Formulas'!$E$6:$E$8,0))</f>
        <v>0.18</v>
      </c>
      <c r="L140" s="52" t="n">
        <f aca="false">J140*K140</f>
        <v>630</v>
      </c>
      <c r="M140" s="47" t="n">
        <f aca="false">MONTH(B140)</f>
        <v>7</v>
      </c>
      <c r="N140" s="47" t="str">
        <f aca="false">TEXT(B140,"mmm")</f>
        <v>Jul</v>
      </c>
    </row>
    <row r="141" customFormat="false" ht="15" hidden="false" customHeight="false" outlineLevel="0" collapsed="false">
      <c r="A141" s="47" t="s">
        <v>142</v>
      </c>
      <c r="B141" s="51" t="n">
        <v>45843</v>
      </c>
      <c r="C141" s="47" t="s">
        <v>67</v>
      </c>
      <c r="D141" s="47" t="s">
        <v>136</v>
      </c>
      <c r="E141" s="47" t="s">
        <v>139</v>
      </c>
      <c r="F141" s="47" t="s">
        <v>126</v>
      </c>
      <c r="G141" s="47" t="n">
        <v>1</v>
      </c>
      <c r="H141" s="52" t="n">
        <v>6500</v>
      </c>
      <c r="I141" s="49" t="n">
        <v>0</v>
      </c>
      <c r="J141" s="52" t="n">
        <f aca="false">G141*H141*(1-I141)</f>
        <v>6500</v>
      </c>
      <c r="K141" s="49" t="n">
        <f aca="false">INDEX('🧮 Formulas'!$F$6:$F$8,MATCH(D141,'🧮 Formulas'!$E$6:$E$8,0))</f>
        <v>0.22</v>
      </c>
      <c r="L141" s="52" t="n">
        <f aca="false">J141*K141</f>
        <v>1430</v>
      </c>
      <c r="M141" s="47" t="n">
        <f aca="false">MONTH(B141)</f>
        <v>7</v>
      </c>
      <c r="N141" s="47" t="str">
        <f aca="false">TEXT(B141,"mmm")</f>
        <v>Jul</v>
      </c>
    </row>
    <row r="142" customFormat="false" ht="15" hidden="false" customHeight="false" outlineLevel="0" collapsed="false">
      <c r="A142" s="47" t="s">
        <v>176</v>
      </c>
      <c r="B142" s="51" t="n">
        <v>45845</v>
      </c>
      <c r="C142" s="47" t="s">
        <v>66</v>
      </c>
      <c r="D142" s="47" t="s">
        <v>136</v>
      </c>
      <c r="E142" s="47" t="s">
        <v>139</v>
      </c>
      <c r="F142" s="47" t="s">
        <v>126</v>
      </c>
      <c r="G142" s="47" t="n">
        <v>5</v>
      </c>
      <c r="H142" s="52" t="n">
        <v>6500</v>
      </c>
      <c r="I142" s="49" t="n">
        <v>0.15</v>
      </c>
      <c r="J142" s="52" t="n">
        <f aca="false">G142*H142*(1-I142)</f>
        <v>27625</v>
      </c>
      <c r="K142" s="49" t="n">
        <f aca="false">INDEX('🧮 Formulas'!$F$6:$F$8,MATCH(D142,'🧮 Formulas'!$E$6:$E$8,0))</f>
        <v>0.22</v>
      </c>
      <c r="L142" s="52" t="n">
        <f aca="false">J142*K142</f>
        <v>6077.5</v>
      </c>
      <c r="M142" s="47" t="n">
        <f aca="false">MONTH(B142)</f>
        <v>7</v>
      </c>
      <c r="N142" s="47" t="str">
        <f aca="false">TEXT(B142,"mmm")</f>
        <v>Jul</v>
      </c>
    </row>
    <row r="143" customFormat="false" ht="15" hidden="false" customHeight="false" outlineLevel="0" collapsed="false">
      <c r="A143" s="47" t="s">
        <v>450</v>
      </c>
      <c r="B143" s="51" t="n">
        <v>45846</v>
      </c>
      <c r="C143" s="47" t="s">
        <v>67</v>
      </c>
      <c r="D143" s="47" t="s">
        <v>124</v>
      </c>
      <c r="E143" s="47" t="s">
        <v>131</v>
      </c>
      <c r="F143" s="47" t="s">
        <v>141</v>
      </c>
      <c r="G143" s="47" t="n">
        <v>4</v>
      </c>
      <c r="H143" s="52" t="n">
        <v>55000</v>
      </c>
      <c r="I143" s="49" t="n">
        <v>0.1</v>
      </c>
      <c r="J143" s="52" t="n">
        <f aca="false">G143*H143*(1-I143)</f>
        <v>198000</v>
      </c>
      <c r="K143" s="49" t="n">
        <f aca="false">INDEX('🧮 Formulas'!$F$6:$F$8,MATCH(D143,'🧮 Formulas'!$E$6:$E$8,0))</f>
        <v>0.18</v>
      </c>
      <c r="L143" s="52" t="n">
        <f aca="false">J143*K143</f>
        <v>35640</v>
      </c>
      <c r="M143" s="47" t="n">
        <f aca="false">MONTH(B143)</f>
        <v>7</v>
      </c>
      <c r="N143" s="47" t="str">
        <f aca="false">TEXT(B143,"mmm")</f>
        <v>Jul</v>
      </c>
    </row>
    <row r="144" customFormat="false" ht="15" hidden="false" customHeight="false" outlineLevel="0" collapsed="false">
      <c r="A144" s="47" t="s">
        <v>177</v>
      </c>
      <c r="B144" s="51" t="n">
        <v>45847</v>
      </c>
      <c r="C144" s="47" t="s">
        <v>67</v>
      </c>
      <c r="D144" s="47" t="s">
        <v>136</v>
      </c>
      <c r="E144" s="47" t="s">
        <v>139</v>
      </c>
      <c r="F144" s="47" t="s">
        <v>126</v>
      </c>
      <c r="G144" s="47" t="n">
        <v>2</v>
      </c>
      <c r="H144" s="52" t="n">
        <v>6500</v>
      </c>
      <c r="I144" s="49" t="n">
        <v>0.2</v>
      </c>
      <c r="J144" s="52" t="n">
        <f aca="false">G144*H144*(1-I144)</f>
        <v>10400</v>
      </c>
      <c r="K144" s="49" t="n">
        <f aca="false">INDEX('🧮 Formulas'!$F$6:$F$8,MATCH(D144,'🧮 Formulas'!$E$6:$E$8,0))</f>
        <v>0.22</v>
      </c>
      <c r="L144" s="52" t="n">
        <f aca="false">J144*K144</f>
        <v>2288</v>
      </c>
      <c r="M144" s="47" t="n">
        <f aca="false">MONTH(B144)</f>
        <v>7</v>
      </c>
      <c r="N144" s="47" t="str">
        <f aca="false">TEXT(B144,"mmm")</f>
        <v>Jul</v>
      </c>
    </row>
    <row r="145" customFormat="false" ht="15" hidden="false" customHeight="false" outlineLevel="0" collapsed="false">
      <c r="A145" s="47" t="s">
        <v>383</v>
      </c>
      <c r="B145" s="51" t="n">
        <v>45847</v>
      </c>
      <c r="C145" s="47" t="s">
        <v>66</v>
      </c>
      <c r="D145" s="47" t="s">
        <v>124</v>
      </c>
      <c r="E145" s="47" t="s">
        <v>133</v>
      </c>
      <c r="F145" s="47" t="s">
        <v>134</v>
      </c>
      <c r="G145" s="47" t="n">
        <v>2</v>
      </c>
      <c r="H145" s="52" t="n">
        <v>22000</v>
      </c>
      <c r="I145" s="49" t="n">
        <v>0</v>
      </c>
      <c r="J145" s="52" t="n">
        <f aca="false">G145*H145*(1-I145)</f>
        <v>44000</v>
      </c>
      <c r="K145" s="49" t="n">
        <f aca="false">INDEX('🧮 Formulas'!$F$6:$F$8,MATCH(D145,'🧮 Formulas'!$E$6:$E$8,0))</f>
        <v>0.18</v>
      </c>
      <c r="L145" s="52" t="n">
        <f aca="false">J145*K145</f>
        <v>7920</v>
      </c>
      <c r="M145" s="47" t="n">
        <f aca="false">MONTH(B145)</f>
        <v>7</v>
      </c>
      <c r="N145" s="47" t="str">
        <f aca="false">TEXT(B145,"mmm")</f>
        <v>Jul</v>
      </c>
    </row>
    <row r="146" customFormat="false" ht="15" hidden="false" customHeight="false" outlineLevel="0" collapsed="false">
      <c r="A146" s="47" t="s">
        <v>395</v>
      </c>
      <c r="B146" s="51" t="n">
        <v>45849</v>
      </c>
      <c r="C146" s="47" t="s">
        <v>66</v>
      </c>
      <c r="D146" s="47" t="s">
        <v>128</v>
      </c>
      <c r="E146" s="47" t="s">
        <v>149</v>
      </c>
      <c r="F146" s="47" t="s">
        <v>141</v>
      </c>
      <c r="G146" s="47" t="n">
        <v>4</v>
      </c>
      <c r="H146" s="52" t="n">
        <v>450</v>
      </c>
      <c r="I146" s="49" t="n">
        <v>0.15</v>
      </c>
      <c r="J146" s="52" t="n">
        <f aca="false">G146*H146*(1-I146)</f>
        <v>1530</v>
      </c>
      <c r="K146" s="49" t="n">
        <f aca="false">INDEX('🧮 Formulas'!$F$6:$F$8,MATCH(D146,'🧮 Formulas'!$E$6:$E$8,0))</f>
        <v>0.3</v>
      </c>
      <c r="L146" s="52" t="n">
        <f aca="false">J146*K146</f>
        <v>459</v>
      </c>
      <c r="M146" s="47" t="n">
        <f aca="false">MONTH(B146)</f>
        <v>7</v>
      </c>
      <c r="N146" s="47" t="str">
        <f aca="false">TEXT(B146,"mmm")</f>
        <v>Jul</v>
      </c>
    </row>
    <row r="147" customFormat="false" ht="15" hidden="false" customHeight="false" outlineLevel="0" collapsed="false">
      <c r="A147" s="47" t="s">
        <v>211</v>
      </c>
      <c r="B147" s="51" t="n">
        <v>45852</v>
      </c>
      <c r="C147" s="47" t="s">
        <v>67</v>
      </c>
      <c r="D147" s="47" t="s">
        <v>124</v>
      </c>
      <c r="E147" s="47" t="s">
        <v>125</v>
      </c>
      <c r="F147" s="47" t="s">
        <v>134</v>
      </c>
      <c r="G147" s="47" t="n">
        <v>3</v>
      </c>
      <c r="H147" s="52" t="n">
        <v>3500</v>
      </c>
      <c r="I147" s="49" t="n">
        <v>0.05</v>
      </c>
      <c r="J147" s="52" t="n">
        <f aca="false">G147*H147*(1-I147)</f>
        <v>9975</v>
      </c>
      <c r="K147" s="49" t="n">
        <f aca="false">INDEX('🧮 Formulas'!$F$6:$F$8,MATCH(D147,'🧮 Formulas'!$E$6:$E$8,0))</f>
        <v>0.18</v>
      </c>
      <c r="L147" s="52" t="n">
        <f aca="false">J147*K147</f>
        <v>1795.5</v>
      </c>
      <c r="M147" s="47" t="n">
        <f aca="false">MONTH(B147)</f>
        <v>7</v>
      </c>
      <c r="N147" s="47" t="str">
        <f aca="false">TEXT(B147,"mmm")</f>
        <v>Jul</v>
      </c>
    </row>
    <row r="148" customFormat="false" ht="15" hidden="false" customHeight="false" outlineLevel="0" collapsed="false">
      <c r="A148" s="47" t="s">
        <v>437</v>
      </c>
      <c r="B148" s="51" t="n">
        <v>45853</v>
      </c>
      <c r="C148" s="47" t="s">
        <v>67</v>
      </c>
      <c r="D148" s="47" t="s">
        <v>124</v>
      </c>
      <c r="E148" s="47" t="s">
        <v>125</v>
      </c>
      <c r="F148" s="47" t="s">
        <v>134</v>
      </c>
      <c r="G148" s="47" t="n">
        <v>3</v>
      </c>
      <c r="H148" s="52" t="n">
        <v>3500</v>
      </c>
      <c r="I148" s="49" t="n">
        <v>0.15</v>
      </c>
      <c r="J148" s="52" t="n">
        <f aca="false">G148*H148*(1-I148)</f>
        <v>8925</v>
      </c>
      <c r="K148" s="49" t="n">
        <f aca="false">INDEX('🧮 Formulas'!$F$6:$F$8,MATCH(D148,'🧮 Formulas'!$E$6:$E$8,0))</f>
        <v>0.18</v>
      </c>
      <c r="L148" s="52" t="n">
        <f aca="false">J148*K148</f>
        <v>1606.5</v>
      </c>
      <c r="M148" s="47" t="n">
        <f aca="false">MONTH(B148)</f>
        <v>7</v>
      </c>
      <c r="N148" s="47" t="str">
        <f aca="false">TEXT(B148,"mmm")</f>
        <v>Jul</v>
      </c>
    </row>
    <row r="149" customFormat="false" ht="15" hidden="false" customHeight="false" outlineLevel="0" collapsed="false">
      <c r="A149" s="47" t="s">
        <v>222</v>
      </c>
      <c r="B149" s="51" t="n">
        <v>45854</v>
      </c>
      <c r="C149" s="47" t="s">
        <v>65</v>
      </c>
      <c r="D149" s="47" t="s">
        <v>124</v>
      </c>
      <c r="E149" s="47" t="s">
        <v>125</v>
      </c>
      <c r="F149" s="47" t="s">
        <v>141</v>
      </c>
      <c r="G149" s="47" t="n">
        <v>3</v>
      </c>
      <c r="H149" s="52" t="n">
        <v>3500</v>
      </c>
      <c r="I149" s="49" t="n">
        <v>0</v>
      </c>
      <c r="J149" s="52" t="n">
        <f aca="false">G149*H149*(1-I149)</f>
        <v>10500</v>
      </c>
      <c r="K149" s="49" t="n">
        <f aca="false">INDEX('🧮 Formulas'!$F$6:$F$8,MATCH(D149,'🧮 Formulas'!$E$6:$E$8,0))</f>
        <v>0.18</v>
      </c>
      <c r="L149" s="52" t="n">
        <f aca="false">J149*K149</f>
        <v>1890</v>
      </c>
      <c r="M149" s="47" t="n">
        <f aca="false">MONTH(B149)</f>
        <v>7</v>
      </c>
      <c r="N149" s="47" t="str">
        <f aca="false">TEXT(B149,"mmm")</f>
        <v>Jul</v>
      </c>
    </row>
    <row r="150" customFormat="false" ht="15" hidden="false" customHeight="false" outlineLevel="0" collapsed="false">
      <c r="A150" s="47" t="s">
        <v>340</v>
      </c>
      <c r="B150" s="51" t="n">
        <v>45854</v>
      </c>
      <c r="C150" s="47" t="s">
        <v>68</v>
      </c>
      <c r="D150" s="47" t="s">
        <v>124</v>
      </c>
      <c r="E150" s="47" t="s">
        <v>131</v>
      </c>
      <c r="F150" s="47" t="s">
        <v>126</v>
      </c>
      <c r="G150" s="47" t="n">
        <v>3</v>
      </c>
      <c r="H150" s="52" t="n">
        <v>55000</v>
      </c>
      <c r="I150" s="49" t="n">
        <v>0</v>
      </c>
      <c r="J150" s="52" t="n">
        <f aca="false">G150*H150*(1-I150)</f>
        <v>165000</v>
      </c>
      <c r="K150" s="49" t="n">
        <f aca="false">INDEX('🧮 Formulas'!$F$6:$F$8,MATCH(D150,'🧮 Formulas'!$E$6:$E$8,0))</f>
        <v>0.18</v>
      </c>
      <c r="L150" s="52" t="n">
        <f aca="false">J150*K150</f>
        <v>29700</v>
      </c>
      <c r="M150" s="47" t="n">
        <f aca="false">MONTH(B150)</f>
        <v>7</v>
      </c>
      <c r="N150" s="47" t="str">
        <f aca="false">TEXT(B150,"mmm")</f>
        <v>Jul</v>
      </c>
    </row>
    <row r="151" customFormat="false" ht="15" hidden="false" customHeight="false" outlineLevel="0" collapsed="false">
      <c r="A151" s="47" t="s">
        <v>245</v>
      </c>
      <c r="B151" s="51" t="n">
        <v>45855</v>
      </c>
      <c r="C151" s="47" t="s">
        <v>65</v>
      </c>
      <c r="D151" s="47" t="s">
        <v>124</v>
      </c>
      <c r="E151" s="47" t="s">
        <v>125</v>
      </c>
      <c r="F151" s="47" t="s">
        <v>134</v>
      </c>
      <c r="G151" s="47" t="n">
        <v>2</v>
      </c>
      <c r="H151" s="52" t="n">
        <v>3500</v>
      </c>
      <c r="I151" s="49" t="n">
        <v>0</v>
      </c>
      <c r="J151" s="52" t="n">
        <f aca="false">G151*H151*(1-I151)</f>
        <v>7000</v>
      </c>
      <c r="K151" s="49" t="n">
        <f aca="false">INDEX('🧮 Formulas'!$F$6:$F$8,MATCH(D151,'🧮 Formulas'!$E$6:$E$8,0))</f>
        <v>0.18</v>
      </c>
      <c r="L151" s="52" t="n">
        <f aca="false">J151*K151</f>
        <v>1260</v>
      </c>
      <c r="M151" s="47" t="n">
        <f aca="false">MONTH(B151)</f>
        <v>7</v>
      </c>
      <c r="N151" s="47" t="str">
        <f aca="false">TEXT(B151,"mmm")</f>
        <v>Jul</v>
      </c>
    </row>
    <row r="152" customFormat="false" ht="15" hidden="false" customHeight="false" outlineLevel="0" collapsed="false">
      <c r="A152" s="47" t="s">
        <v>163</v>
      </c>
      <c r="B152" s="51" t="n">
        <v>45857</v>
      </c>
      <c r="C152" s="47" t="s">
        <v>68</v>
      </c>
      <c r="D152" s="47" t="s">
        <v>136</v>
      </c>
      <c r="E152" s="47" t="s">
        <v>139</v>
      </c>
      <c r="F152" s="47" t="s">
        <v>141</v>
      </c>
      <c r="G152" s="47" t="n">
        <v>3</v>
      </c>
      <c r="H152" s="52" t="n">
        <v>6500</v>
      </c>
      <c r="I152" s="49" t="n">
        <v>0.2</v>
      </c>
      <c r="J152" s="52" t="n">
        <f aca="false">G152*H152*(1-I152)</f>
        <v>15600</v>
      </c>
      <c r="K152" s="49" t="n">
        <f aca="false">INDEX('🧮 Formulas'!$F$6:$F$8,MATCH(D152,'🧮 Formulas'!$E$6:$E$8,0))</f>
        <v>0.22</v>
      </c>
      <c r="L152" s="52" t="n">
        <f aca="false">J152*K152</f>
        <v>3432</v>
      </c>
      <c r="M152" s="47" t="n">
        <f aca="false">MONTH(B152)</f>
        <v>7</v>
      </c>
      <c r="N152" s="47" t="str">
        <f aca="false">TEXT(B152,"mmm")</f>
        <v>Jul</v>
      </c>
    </row>
    <row r="153" customFormat="false" ht="15" hidden="false" customHeight="false" outlineLevel="0" collapsed="false">
      <c r="A153" s="47" t="s">
        <v>455</v>
      </c>
      <c r="B153" s="51" t="n">
        <v>45861</v>
      </c>
      <c r="C153" s="47" t="s">
        <v>65</v>
      </c>
      <c r="D153" s="47" t="s">
        <v>124</v>
      </c>
      <c r="E153" s="47" t="s">
        <v>125</v>
      </c>
      <c r="F153" s="47" t="s">
        <v>134</v>
      </c>
      <c r="G153" s="47" t="n">
        <v>1</v>
      </c>
      <c r="H153" s="52" t="n">
        <v>3500</v>
      </c>
      <c r="I153" s="49" t="n">
        <v>0</v>
      </c>
      <c r="J153" s="52" t="n">
        <f aca="false">G153*H153*(1-I153)</f>
        <v>3500</v>
      </c>
      <c r="K153" s="49" t="n">
        <f aca="false">INDEX('🧮 Formulas'!$F$6:$F$8,MATCH(D153,'🧮 Formulas'!$E$6:$E$8,0))</f>
        <v>0.18</v>
      </c>
      <c r="L153" s="52" t="n">
        <f aca="false">J153*K153</f>
        <v>630</v>
      </c>
      <c r="M153" s="47" t="n">
        <f aca="false">MONTH(B153)</f>
        <v>7</v>
      </c>
      <c r="N153" s="47" t="str">
        <f aca="false">TEXT(B153,"mmm")</f>
        <v>Jul</v>
      </c>
    </row>
    <row r="154" customFormat="false" ht="15" hidden="false" customHeight="false" outlineLevel="0" collapsed="false">
      <c r="A154" s="47" t="s">
        <v>174</v>
      </c>
      <c r="B154" s="51" t="n">
        <v>45863</v>
      </c>
      <c r="C154" s="47" t="s">
        <v>68</v>
      </c>
      <c r="D154" s="47" t="s">
        <v>128</v>
      </c>
      <c r="E154" s="47" t="s">
        <v>129</v>
      </c>
      <c r="F154" s="47" t="s">
        <v>141</v>
      </c>
      <c r="G154" s="47" t="n">
        <v>9</v>
      </c>
      <c r="H154" s="52" t="n">
        <v>120</v>
      </c>
      <c r="I154" s="49" t="n">
        <v>0</v>
      </c>
      <c r="J154" s="52" t="n">
        <f aca="false">G154*H154*(1-I154)</f>
        <v>1080</v>
      </c>
      <c r="K154" s="49" t="n">
        <f aca="false">INDEX('🧮 Formulas'!$F$6:$F$8,MATCH(D154,'🧮 Formulas'!$E$6:$E$8,0))</f>
        <v>0.3</v>
      </c>
      <c r="L154" s="52" t="n">
        <f aca="false">J154*K154</f>
        <v>324</v>
      </c>
      <c r="M154" s="47" t="n">
        <f aca="false">MONTH(B154)</f>
        <v>7</v>
      </c>
      <c r="N154" s="47" t="str">
        <f aca="false">TEXT(B154,"mmm")</f>
        <v>Jul</v>
      </c>
    </row>
    <row r="155" customFormat="false" ht="15" hidden="false" customHeight="false" outlineLevel="0" collapsed="false">
      <c r="A155" s="47" t="s">
        <v>435</v>
      </c>
      <c r="B155" s="51" t="n">
        <v>45864</v>
      </c>
      <c r="C155" s="47" t="s">
        <v>67</v>
      </c>
      <c r="D155" s="47" t="s">
        <v>124</v>
      </c>
      <c r="E155" s="47" t="s">
        <v>131</v>
      </c>
      <c r="F155" s="47" t="s">
        <v>126</v>
      </c>
      <c r="G155" s="47" t="n">
        <v>1</v>
      </c>
      <c r="H155" s="52" t="n">
        <v>55000</v>
      </c>
      <c r="I155" s="49" t="n">
        <v>0</v>
      </c>
      <c r="J155" s="52" t="n">
        <f aca="false">G155*H155*(1-I155)</f>
        <v>55000</v>
      </c>
      <c r="K155" s="49" t="n">
        <f aca="false">INDEX('🧮 Formulas'!$F$6:$F$8,MATCH(D155,'🧮 Formulas'!$E$6:$E$8,0))</f>
        <v>0.18</v>
      </c>
      <c r="L155" s="52" t="n">
        <f aca="false">J155*K155</f>
        <v>9900</v>
      </c>
      <c r="M155" s="47" t="n">
        <f aca="false">MONTH(B155)</f>
        <v>7</v>
      </c>
      <c r="N155" s="47" t="str">
        <f aca="false">TEXT(B155,"mmm")</f>
        <v>Jul</v>
      </c>
    </row>
    <row r="156" customFormat="false" ht="15" hidden="false" customHeight="false" outlineLevel="0" collapsed="false">
      <c r="A156" s="47" t="s">
        <v>233</v>
      </c>
      <c r="B156" s="51" t="n">
        <v>45864</v>
      </c>
      <c r="C156" s="47" t="s">
        <v>67</v>
      </c>
      <c r="D156" s="47" t="s">
        <v>124</v>
      </c>
      <c r="E156" s="47" t="s">
        <v>125</v>
      </c>
      <c r="F156" s="47" t="s">
        <v>126</v>
      </c>
      <c r="G156" s="47" t="n">
        <v>3</v>
      </c>
      <c r="H156" s="52" t="n">
        <v>3500</v>
      </c>
      <c r="I156" s="49" t="n">
        <v>0.1</v>
      </c>
      <c r="J156" s="52" t="n">
        <f aca="false">G156*H156*(1-I156)</f>
        <v>9450</v>
      </c>
      <c r="K156" s="49" t="n">
        <f aca="false">INDEX('🧮 Formulas'!$F$6:$F$8,MATCH(D156,'🧮 Formulas'!$E$6:$E$8,0))</f>
        <v>0.18</v>
      </c>
      <c r="L156" s="52" t="n">
        <f aca="false">J156*K156</f>
        <v>1701</v>
      </c>
      <c r="M156" s="47" t="n">
        <f aca="false">MONTH(B156)</f>
        <v>7</v>
      </c>
      <c r="N156" s="47" t="str">
        <f aca="false">TEXT(B156,"mmm")</f>
        <v>Jul</v>
      </c>
    </row>
    <row r="157" customFormat="false" ht="15" hidden="false" customHeight="false" outlineLevel="0" collapsed="false">
      <c r="A157" s="47" t="s">
        <v>449</v>
      </c>
      <c r="B157" s="51" t="n">
        <v>45867</v>
      </c>
      <c r="C157" s="47" t="s">
        <v>67</v>
      </c>
      <c r="D157" s="47" t="s">
        <v>128</v>
      </c>
      <c r="E157" s="47" t="s">
        <v>144</v>
      </c>
      <c r="F157" s="47" t="s">
        <v>134</v>
      </c>
      <c r="G157" s="47" t="n">
        <v>7</v>
      </c>
      <c r="H157" s="52" t="n">
        <v>180</v>
      </c>
      <c r="I157" s="49" t="n">
        <v>0.2</v>
      </c>
      <c r="J157" s="52" t="n">
        <f aca="false">G157*H157*(1-I157)</f>
        <v>1008</v>
      </c>
      <c r="K157" s="49" t="n">
        <f aca="false">INDEX('🧮 Formulas'!$F$6:$F$8,MATCH(D157,'🧮 Formulas'!$E$6:$E$8,0))</f>
        <v>0.3</v>
      </c>
      <c r="L157" s="52" t="n">
        <f aca="false">J157*K157</f>
        <v>302.4</v>
      </c>
      <c r="M157" s="47" t="n">
        <f aca="false">MONTH(B157)</f>
        <v>7</v>
      </c>
      <c r="N157" s="47" t="str">
        <f aca="false">TEXT(B157,"mmm")</f>
        <v>Jul</v>
      </c>
    </row>
    <row r="158" customFormat="false" ht="15" hidden="false" customHeight="false" outlineLevel="0" collapsed="false">
      <c r="A158" s="47" t="s">
        <v>442</v>
      </c>
      <c r="B158" s="51" t="n">
        <v>45867</v>
      </c>
      <c r="C158" s="47" t="s">
        <v>65</v>
      </c>
      <c r="D158" s="47" t="s">
        <v>128</v>
      </c>
      <c r="E158" s="47" t="s">
        <v>155</v>
      </c>
      <c r="F158" s="47" t="s">
        <v>126</v>
      </c>
      <c r="G158" s="47" t="n">
        <v>12</v>
      </c>
      <c r="H158" s="52" t="n">
        <v>250</v>
      </c>
      <c r="I158" s="49" t="n">
        <v>0</v>
      </c>
      <c r="J158" s="52" t="n">
        <f aca="false">G158*H158*(1-I158)</f>
        <v>3000</v>
      </c>
      <c r="K158" s="49" t="n">
        <f aca="false">INDEX('🧮 Formulas'!$F$6:$F$8,MATCH(D158,'🧮 Formulas'!$E$6:$E$8,0))</f>
        <v>0.3</v>
      </c>
      <c r="L158" s="52" t="n">
        <f aca="false">J158*K158</f>
        <v>900</v>
      </c>
      <c r="M158" s="47" t="n">
        <f aca="false">MONTH(B158)</f>
        <v>7</v>
      </c>
      <c r="N158" s="47" t="str">
        <f aca="false">TEXT(B158,"mmm")</f>
        <v>Jul</v>
      </c>
    </row>
    <row r="159" customFormat="false" ht="15" hidden="false" customHeight="false" outlineLevel="0" collapsed="false">
      <c r="A159" s="47" t="s">
        <v>405</v>
      </c>
      <c r="B159" s="51" t="n">
        <v>45868</v>
      </c>
      <c r="C159" s="47" t="s">
        <v>66</v>
      </c>
      <c r="D159" s="47" t="s">
        <v>128</v>
      </c>
      <c r="E159" s="47" t="s">
        <v>155</v>
      </c>
      <c r="F159" s="47" t="s">
        <v>134</v>
      </c>
      <c r="G159" s="47" t="n">
        <v>14</v>
      </c>
      <c r="H159" s="52" t="n">
        <v>250</v>
      </c>
      <c r="I159" s="49" t="n">
        <v>0</v>
      </c>
      <c r="J159" s="52" t="n">
        <f aca="false">G159*H159*(1-I159)</f>
        <v>3500</v>
      </c>
      <c r="K159" s="49" t="n">
        <f aca="false">INDEX('🧮 Formulas'!$F$6:$F$8,MATCH(D159,'🧮 Formulas'!$E$6:$E$8,0))</f>
        <v>0.3</v>
      </c>
      <c r="L159" s="52" t="n">
        <f aca="false">J159*K159</f>
        <v>1050</v>
      </c>
      <c r="M159" s="47" t="n">
        <f aca="false">MONTH(B159)</f>
        <v>7</v>
      </c>
      <c r="N159" s="47" t="str">
        <f aca="false">TEXT(B159,"mmm")</f>
        <v>Jul</v>
      </c>
    </row>
    <row r="160" customFormat="false" ht="15" hidden="false" customHeight="false" outlineLevel="0" collapsed="false">
      <c r="A160" s="47" t="s">
        <v>246</v>
      </c>
      <c r="B160" s="51" t="n">
        <v>45868</v>
      </c>
      <c r="C160" s="47" t="s">
        <v>68</v>
      </c>
      <c r="D160" s="47" t="s">
        <v>124</v>
      </c>
      <c r="E160" s="47" t="s">
        <v>133</v>
      </c>
      <c r="F160" s="47" t="s">
        <v>134</v>
      </c>
      <c r="G160" s="47" t="n">
        <v>3</v>
      </c>
      <c r="H160" s="52" t="n">
        <v>22000</v>
      </c>
      <c r="I160" s="49" t="n">
        <v>0.2</v>
      </c>
      <c r="J160" s="52" t="n">
        <f aca="false">G160*H160*(1-I160)</f>
        <v>52800</v>
      </c>
      <c r="K160" s="49" t="n">
        <f aca="false">INDEX('🧮 Formulas'!$F$6:$F$8,MATCH(D160,'🧮 Formulas'!$E$6:$E$8,0))</f>
        <v>0.18</v>
      </c>
      <c r="L160" s="52" t="n">
        <f aca="false">J160*K160</f>
        <v>9504</v>
      </c>
      <c r="M160" s="47" t="n">
        <f aca="false">MONTH(B160)</f>
        <v>7</v>
      </c>
      <c r="N160" s="47" t="str">
        <f aca="false">TEXT(B160,"mmm")</f>
        <v>Jul</v>
      </c>
    </row>
    <row r="161" customFormat="false" ht="15" hidden="false" customHeight="false" outlineLevel="0" collapsed="false">
      <c r="A161" s="47" t="s">
        <v>135</v>
      </c>
      <c r="B161" s="51" t="n">
        <v>45868</v>
      </c>
      <c r="C161" s="47" t="s">
        <v>66</v>
      </c>
      <c r="D161" s="47" t="s">
        <v>136</v>
      </c>
      <c r="E161" s="47" t="s">
        <v>137</v>
      </c>
      <c r="F161" s="47" t="s">
        <v>126</v>
      </c>
      <c r="G161" s="47" t="n">
        <v>5</v>
      </c>
      <c r="H161" s="52" t="n">
        <v>12000</v>
      </c>
      <c r="I161" s="49" t="n">
        <v>0</v>
      </c>
      <c r="J161" s="52" t="n">
        <f aca="false">G161*H161*(1-I161)</f>
        <v>60000</v>
      </c>
      <c r="K161" s="49" t="n">
        <f aca="false">INDEX('🧮 Formulas'!$F$6:$F$8,MATCH(D161,'🧮 Formulas'!$E$6:$E$8,0))</f>
        <v>0.22</v>
      </c>
      <c r="L161" s="52" t="n">
        <f aca="false">J161*K161</f>
        <v>13200</v>
      </c>
      <c r="M161" s="47" t="n">
        <f aca="false">MONTH(B161)</f>
        <v>7</v>
      </c>
      <c r="N161" s="47" t="str">
        <f aca="false">TEXT(B161,"mmm")</f>
        <v>Jul</v>
      </c>
    </row>
    <row r="162" customFormat="false" ht="15" hidden="false" customHeight="false" outlineLevel="0" collapsed="false">
      <c r="A162" s="47" t="s">
        <v>293</v>
      </c>
      <c r="B162" s="51" t="n">
        <v>45868</v>
      </c>
      <c r="C162" s="47" t="s">
        <v>67</v>
      </c>
      <c r="D162" s="47" t="s">
        <v>124</v>
      </c>
      <c r="E162" s="47" t="s">
        <v>125</v>
      </c>
      <c r="F162" s="47" t="s">
        <v>141</v>
      </c>
      <c r="G162" s="47" t="n">
        <v>1</v>
      </c>
      <c r="H162" s="52" t="n">
        <v>3500</v>
      </c>
      <c r="I162" s="49" t="n">
        <v>0.1</v>
      </c>
      <c r="J162" s="52" t="n">
        <f aca="false">G162*H162*(1-I162)</f>
        <v>3150</v>
      </c>
      <c r="K162" s="49" t="n">
        <f aca="false">INDEX('🧮 Formulas'!$F$6:$F$8,MATCH(D162,'🧮 Formulas'!$E$6:$E$8,0))</f>
        <v>0.18</v>
      </c>
      <c r="L162" s="52" t="n">
        <f aca="false">J162*K162</f>
        <v>567</v>
      </c>
      <c r="M162" s="47" t="n">
        <f aca="false">MONTH(B162)</f>
        <v>7</v>
      </c>
      <c r="N162" s="47" t="str">
        <f aca="false">TEXT(B162,"mmm")</f>
        <v>Jul</v>
      </c>
    </row>
    <row r="163" customFormat="false" ht="15" hidden="false" customHeight="false" outlineLevel="0" collapsed="false">
      <c r="A163" s="47" t="s">
        <v>451</v>
      </c>
      <c r="B163" s="51" t="n">
        <v>45871</v>
      </c>
      <c r="C163" s="47" t="s">
        <v>66</v>
      </c>
      <c r="D163" s="47" t="s">
        <v>128</v>
      </c>
      <c r="E163" s="47" t="s">
        <v>149</v>
      </c>
      <c r="F163" s="47" t="s">
        <v>141</v>
      </c>
      <c r="G163" s="47" t="n">
        <v>11</v>
      </c>
      <c r="H163" s="52" t="n">
        <v>450</v>
      </c>
      <c r="I163" s="49" t="n">
        <v>0.2</v>
      </c>
      <c r="J163" s="52" t="n">
        <f aca="false">G163*H163*(1-I163)</f>
        <v>3960</v>
      </c>
      <c r="K163" s="49" t="n">
        <f aca="false">INDEX('🧮 Formulas'!$F$6:$F$8,MATCH(D163,'🧮 Formulas'!$E$6:$E$8,0))</f>
        <v>0.3</v>
      </c>
      <c r="L163" s="52" t="n">
        <f aca="false">J163*K163</f>
        <v>1188</v>
      </c>
      <c r="M163" s="47" t="n">
        <f aca="false">MONTH(B163)</f>
        <v>8</v>
      </c>
      <c r="N163" s="47" t="str">
        <f aca="false">TEXT(B163,"mmm")</f>
        <v>Aug</v>
      </c>
    </row>
    <row r="164" customFormat="false" ht="15" hidden="false" customHeight="false" outlineLevel="0" collapsed="false">
      <c r="A164" s="47" t="s">
        <v>123</v>
      </c>
      <c r="B164" s="51" t="n">
        <v>45873</v>
      </c>
      <c r="C164" s="47" t="s">
        <v>68</v>
      </c>
      <c r="D164" s="47" t="s">
        <v>124</v>
      </c>
      <c r="E164" s="47" t="s">
        <v>125</v>
      </c>
      <c r="F164" s="47" t="s">
        <v>126</v>
      </c>
      <c r="G164" s="47" t="n">
        <v>1</v>
      </c>
      <c r="H164" s="52" t="n">
        <v>3500</v>
      </c>
      <c r="I164" s="49" t="n">
        <v>0.1</v>
      </c>
      <c r="J164" s="52" t="n">
        <f aca="false">G164*H164*(1-I164)</f>
        <v>3150</v>
      </c>
      <c r="K164" s="49" t="n">
        <f aca="false">INDEX('🧮 Formulas'!$F$6:$F$8,MATCH(D164,'🧮 Formulas'!$E$6:$E$8,0))</f>
        <v>0.18</v>
      </c>
      <c r="L164" s="52" t="n">
        <f aca="false">J164*K164</f>
        <v>567</v>
      </c>
      <c r="M164" s="47" t="n">
        <f aca="false">MONTH(B164)</f>
        <v>8</v>
      </c>
      <c r="N164" s="47" t="str">
        <f aca="false">TEXT(B164,"mmm")</f>
        <v>Aug</v>
      </c>
    </row>
    <row r="165" customFormat="false" ht="15" hidden="false" customHeight="false" outlineLevel="0" collapsed="false">
      <c r="A165" s="47" t="s">
        <v>127</v>
      </c>
      <c r="B165" s="51" t="n">
        <v>45874</v>
      </c>
      <c r="C165" s="47" t="s">
        <v>65</v>
      </c>
      <c r="D165" s="47" t="s">
        <v>128</v>
      </c>
      <c r="E165" s="47" t="s">
        <v>129</v>
      </c>
      <c r="F165" s="47" t="s">
        <v>126</v>
      </c>
      <c r="G165" s="47" t="n">
        <v>11</v>
      </c>
      <c r="H165" s="52" t="n">
        <v>120</v>
      </c>
      <c r="I165" s="49" t="n">
        <v>0</v>
      </c>
      <c r="J165" s="52" t="n">
        <f aca="false">G165*H165*(1-I165)</f>
        <v>1320</v>
      </c>
      <c r="K165" s="49" t="n">
        <f aca="false">INDEX('🧮 Formulas'!$F$6:$F$8,MATCH(D165,'🧮 Formulas'!$E$6:$E$8,0))</f>
        <v>0.3</v>
      </c>
      <c r="L165" s="52" t="n">
        <f aca="false">J165*K165</f>
        <v>396</v>
      </c>
      <c r="M165" s="47" t="n">
        <f aca="false">MONTH(B165)</f>
        <v>8</v>
      </c>
      <c r="N165" s="47" t="str">
        <f aca="false">TEXT(B165,"mmm")</f>
        <v>Aug</v>
      </c>
    </row>
    <row r="166" customFormat="false" ht="15" hidden="false" customHeight="false" outlineLevel="0" collapsed="false">
      <c r="A166" s="47" t="s">
        <v>319</v>
      </c>
      <c r="B166" s="51" t="n">
        <v>45874</v>
      </c>
      <c r="C166" s="47" t="s">
        <v>68</v>
      </c>
      <c r="D166" s="47" t="s">
        <v>124</v>
      </c>
      <c r="E166" s="47" t="s">
        <v>146</v>
      </c>
      <c r="F166" s="47" t="s">
        <v>134</v>
      </c>
      <c r="G166" s="47" t="n">
        <v>3</v>
      </c>
      <c r="H166" s="52" t="n">
        <v>14000</v>
      </c>
      <c r="I166" s="49" t="n">
        <v>0.2</v>
      </c>
      <c r="J166" s="52" t="n">
        <f aca="false">G166*H166*(1-I166)</f>
        <v>33600</v>
      </c>
      <c r="K166" s="49" t="n">
        <f aca="false">INDEX('🧮 Formulas'!$F$6:$F$8,MATCH(D166,'🧮 Formulas'!$E$6:$E$8,0))</f>
        <v>0.18</v>
      </c>
      <c r="L166" s="52" t="n">
        <f aca="false">J166*K166</f>
        <v>6048</v>
      </c>
      <c r="M166" s="47" t="n">
        <f aca="false">MONTH(B166)</f>
        <v>8</v>
      </c>
      <c r="N166" s="47" t="str">
        <f aca="false">TEXT(B166,"mmm")</f>
        <v>Aug</v>
      </c>
    </row>
    <row r="167" customFormat="false" ht="15" hidden="false" customHeight="false" outlineLevel="0" collapsed="false">
      <c r="A167" s="47" t="s">
        <v>314</v>
      </c>
      <c r="B167" s="51" t="n">
        <v>45874</v>
      </c>
      <c r="C167" s="47" t="s">
        <v>66</v>
      </c>
      <c r="D167" s="47" t="s">
        <v>124</v>
      </c>
      <c r="E167" s="47" t="s">
        <v>146</v>
      </c>
      <c r="F167" s="47" t="s">
        <v>134</v>
      </c>
      <c r="G167" s="47" t="n">
        <v>2</v>
      </c>
      <c r="H167" s="52" t="n">
        <v>14000</v>
      </c>
      <c r="I167" s="49" t="n">
        <v>0.1</v>
      </c>
      <c r="J167" s="52" t="n">
        <f aca="false">G167*H167*(1-I167)</f>
        <v>25200</v>
      </c>
      <c r="K167" s="49" t="n">
        <f aca="false">INDEX('🧮 Formulas'!$F$6:$F$8,MATCH(D167,'🧮 Formulas'!$E$6:$E$8,0))</f>
        <v>0.18</v>
      </c>
      <c r="L167" s="52" t="n">
        <f aca="false">J167*K167</f>
        <v>4536</v>
      </c>
      <c r="M167" s="47" t="n">
        <f aca="false">MONTH(B167)</f>
        <v>8</v>
      </c>
      <c r="N167" s="47" t="str">
        <f aca="false">TEXT(B167,"mmm")</f>
        <v>Aug</v>
      </c>
    </row>
    <row r="168" customFormat="false" ht="15" hidden="false" customHeight="false" outlineLevel="0" collapsed="false">
      <c r="A168" s="47" t="s">
        <v>145</v>
      </c>
      <c r="B168" s="51" t="n">
        <v>45874</v>
      </c>
      <c r="C168" s="47" t="s">
        <v>68</v>
      </c>
      <c r="D168" s="47" t="s">
        <v>124</v>
      </c>
      <c r="E168" s="47" t="s">
        <v>146</v>
      </c>
      <c r="F168" s="47" t="s">
        <v>126</v>
      </c>
      <c r="G168" s="47" t="n">
        <v>3</v>
      </c>
      <c r="H168" s="52" t="n">
        <v>14000</v>
      </c>
      <c r="I168" s="49" t="n">
        <v>0</v>
      </c>
      <c r="J168" s="52" t="n">
        <f aca="false">G168*H168*(1-I168)</f>
        <v>42000</v>
      </c>
      <c r="K168" s="49" t="n">
        <f aca="false">INDEX('🧮 Formulas'!$F$6:$F$8,MATCH(D168,'🧮 Formulas'!$E$6:$E$8,0))</f>
        <v>0.18</v>
      </c>
      <c r="L168" s="52" t="n">
        <f aca="false">J168*K168</f>
        <v>7560</v>
      </c>
      <c r="M168" s="47" t="n">
        <f aca="false">MONTH(B168)</f>
        <v>8</v>
      </c>
      <c r="N168" s="47" t="str">
        <f aca="false">TEXT(B168,"mmm")</f>
        <v>Aug</v>
      </c>
    </row>
    <row r="169" customFormat="false" ht="15" hidden="false" customHeight="false" outlineLevel="0" collapsed="false">
      <c r="A169" s="47" t="s">
        <v>337</v>
      </c>
      <c r="B169" s="51" t="n">
        <v>45875</v>
      </c>
      <c r="C169" s="47" t="s">
        <v>66</v>
      </c>
      <c r="D169" s="47" t="s">
        <v>124</v>
      </c>
      <c r="E169" s="47" t="s">
        <v>131</v>
      </c>
      <c r="F169" s="47" t="s">
        <v>126</v>
      </c>
      <c r="G169" s="47" t="n">
        <v>1</v>
      </c>
      <c r="H169" s="52" t="n">
        <v>55000</v>
      </c>
      <c r="I169" s="49" t="n">
        <v>0.2</v>
      </c>
      <c r="J169" s="52" t="n">
        <f aca="false">G169*H169*(1-I169)</f>
        <v>44000</v>
      </c>
      <c r="K169" s="49" t="n">
        <f aca="false">INDEX('🧮 Formulas'!$F$6:$F$8,MATCH(D169,'🧮 Formulas'!$E$6:$E$8,0))</f>
        <v>0.18</v>
      </c>
      <c r="L169" s="52" t="n">
        <f aca="false">J169*K169</f>
        <v>7920</v>
      </c>
      <c r="M169" s="47" t="n">
        <f aca="false">MONTH(B169)</f>
        <v>8</v>
      </c>
      <c r="N169" s="47" t="str">
        <f aca="false">TEXT(B169,"mmm")</f>
        <v>Aug</v>
      </c>
    </row>
    <row r="170" customFormat="false" ht="15" hidden="false" customHeight="false" outlineLevel="0" collapsed="false">
      <c r="A170" s="47" t="s">
        <v>403</v>
      </c>
      <c r="B170" s="51" t="n">
        <v>45878</v>
      </c>
      <c r="C170" s="47" t="s">
        <v>65</v>
      </c>
      <c r="D170" s="47" t="s">
        <v>128</v>
      </c>
      <c r="E170" s="47" t="s">
        <v>149</v>
      </c>
      <c r="F170" s="47" t="s">
        <v>141</v>
      </c>
      <c r="G170" s="47" t="n">
        <v>7</v>
      </c>
      <c r="H170" s="52" t="n">
        <v>450</v>
      </c>
      <c r="I170" s="49" t="n">
        <v>0.05</v>
      </c>
      <c r="J170" s="52" t="n">
        <f aca="false">G170*H170*(1-I170)</f>
        <v>2992.5</v>
      </c>
      <c r="K170" s="49" t="n">
        <f aca="false">INDEX('🧮 Formulas'!$F$6:$F$8,MATCH(D170,'🧮 Formulas'!$E$6:$E$8,0))</f>
        <v>0.3</v>
      </c>
      <c r="L170" s="52" t="n">
        <f aca="false">J170*K170</f>
        <v>897.75</v>
      </c>
      <c r="M170" s="47" t="n">
        <f aca="false">MONTH(B170)</f>
        <v>8</v>
      </c>
      <c r="N170" s="47" t="str">
        <f aca="false">TEXT(B170,"mmm")</f>
        <v>Aug</v>
      </c>
    </row>
    <row r="171" customFormat="false" ht="15" hidden="false" customHeight="false" outlineLevel="0" collapsed="false">
      <c r="A171" s="47" t="s">
        <v>356</v>
      </c>
      <c r="B171" s="51" t="n">
        <v>45879</v>
      </c>
      <c r="C171" s="47" t="s">
        <v>65</v>
      </c>
      <c r="D171" s="47" t="s">
        <v>136</v>
      </c>
      <c r="E171" s="47" t="s">
        <v>137</v>
      </c>
      <c r="F171" s="47" t="s">
        <v>126</v>
      </c>
      <c r="G171" s="47" t="n">
        <v>2</v>
      </c>
      <c r="H171" s="52" t="n">
        <v>12000</v>
      </c>
      <c r="I171" s="49" t="n">
        <v>0.15</v>
      </c>
      <c r="J171" s="52" t="n">
        <f aca="false">G171*H171*(1-I171)</f>
        <v>20400</v>
      </c>
      <c r="K171" s="49" t="n">
        <f aca="false">INDEX('🧮 Formulas'!$F$6:$F$8,MATCH(D171,'🧮 Formulas'!$E$6:$E$8,0))</f>
        <v>0.22</v>
      </c>
      <c r="L171" s="52" t="n">
        <f aca="false">J171*K171</f>
        <v>4488</v>
      </c>
      <c r="M171" s="47" t="n">
        <f aca="false">MONTH(B171)</f>
        <v>8</v>
      </c>
      <c r="N171" s="47" t="str">
        <f aca="false">TEXT(B171,"mmm")</f>
        <v>Aug</v>
      </c>
    </row>
    <row r="172" customFormat="false" ht="15" hidden="false" customHeight="false" outlineLevel="0" collapsed="false">
      <c r="A172" s="47" t="s">
        <v>206</v>
      </c>
      <c r="B172" s="51" t="n">
        <v>45882</v>
      </c>
      <c r="C172" s="47" t="s">
        <v>68</v>
      </c>
      <c r="D172" s="47" t="s">
        <v>124</v>
      </c>
      <c r="E172" s="47" t="s">
        <v>133</v>
      </c>
      <c r="F172" s="47" t="s">
        <v>126</v>
      </c>
      <c r="G172" s="47" t="n">
        <v>3</v>
      </c>
      <c r="H172" s="52" t="n">
        <v>22000</v>
      </c>
      <c r="I172" s="49" t="n">
        <v>0</v>
      </c>
      <c r="J172" s="52" t="n">
        <f aca="false">G172*H172*(1-I172)</f>
        <v>66000</v>
      </c>
      <c r="K172" s="49" t="n">
        <f aca="false">INDEX('🧮 Formulas'!$F$6:$F$8,MATCH(D172,'🧮 Formulas'!$E$6:$E$8,0))</f>
        <v>0.18</v>
      </c>
      <c r="L172" s="52" t="n">
        <f aca="false">J172*K172</f>
        <v>11880</v>
      </c>
      <c r="M172" s="47" t="n">
        <f aca="false">MONTH(B172)</f>
        <v>8</v>
      </c>
      <c r="N172" s="47" t="str">
        <f aca="false">TEXT(B172,"mmm")</f>
        <v>Aug</v>
      </c>
    </row>
    <row r="173" customFormat="false" ht="15" hidden="false" customHeight="false" outlineLevel="0" collapsed="false">
      <c r="A173" s="47" t="s">
        <v>361</v>
      </c>
      <c r="B173" s="51" t="n">
        <v>45883</v>
      </c>
      <c r="C173" s="47" t="s">
        <v>65</v>
      </c>
      <c r="D173" s="47" t="s">
        <v>124</v>
      </c>
      <c r="E173" s="47" t="s">
        <v>125</v>
      </c>
      <c r="F173" s="47" t="s">
        <v>141</v>
      </c>
      <c r="G173" s="47" t="n">
        <v>2</v>
      </c>
      <c r="H173" s="52" t="n">
        <v>3500</v>
      </c>
      <c r="I173" s="49" t="n">
        <v>0.1</v>
      </c>
      <c r="J173" s="52" t="n">
        <f aca="false">G173*H173*(1-I173)</f>
        <v>6300</v>
      </c>
      <c r="K173" s="49" t="n">
        <f aca="false">INDEX('🧮 Formulas'!$F$6:$F$8,MATCH(D173,'🧮 Formulas'!$E$6:$E$8,0))</f>
        <v>0.18</v>
      </c>
      <c r="L173" s="52" t="n">
        <f aca="false">J173*K173</f>
        <v>1134</v>
      </c>
      <c r="M173" s="47" t="n">
        <f aca="false">MONTH(B173)</f>
        <v>8</v>
      </c>
      <c r="N173" s="47" t="str">
        <f aca="false">TEXT(B173,"mmm")</f>
        <v>Aug</v>
      </c>
    </row>
    <row r="174" customFormat="false" ht="15" hidden="false" customHeight="false" outlineLevel="0" collapsed="false">
      <c r="A174" s="47" t="s">
        <v>298</v>
      </c>
      <c r="B174" s="51" t="n">
        <v>45883</v>
      </c>
      <c r="C174" s="47" t="s">
        <v>68</v>
      </c>
      <c r="D174" s="47" t="s">
        <v>128</v>
      </c>
      <c r="E174" s="47" t="s">
        <v>144</v>
      </c>
      <c r="F174" s="47" t="s">
        <v>134</v>
      </c>
      <c r="G174" s="47" t="n">
        <v>8</v>
      </c>
      <c r="H174" s="52" t="n">
        <v>180</v>
      </c>
      <c r="I174" s="49" t="n">
        <v>0</v>
      </c>
      <c r="J174" s="52" t="n">
        <f aca="false">G174*H174*(1-I174)</f>
        <v>1440</v>
      </c>
      <c r="K174" s="49" t="n">
        <f aca="false">INDEX('🧮 Formulas'!$F$6:$F$8,MATCH(D174,'🧮 Formulas'!$E$6:$E$8,0))</f>
        <v>0.3</v>
      </c>
      <c r="L174" s="52" t="n">
        <f aca="false">J174*K174</f>
        <v>432</v>
      </c>
      <c r="M174" s="47" t="n">
        <f aca="false">MONTH(B174)</f>
        <v>8</v>
      </c>
      <c r="N174" s="47" t="str">
        <f aca="false">TEXT(B174,"mmm")</f>
        <v>Aug</v>
      </c>
    </row>
    <row r="175" customFormat="false" ht="15" hidden="false" customHeight="false" outlineLevel="0" collapsed="false">
      <c r="A175" s="47" t="s">
        <v>148</v>
      </c>
      <c r="B175" s="51" t="n">
        <v>45884</v>
      </c>
      <c r="C175" s="47" t="s">
        <v>68</v>
      </c>
      <c r="D175" s="47" t="s">
        <v>128</v>
      </c>
      <c r="E175" s="47" t="s">
        <v>149</v>
      </c>
      <c r="F175" s="47" t="s">
        <v>141</v>
      </c>
      <c r="G175" s="47" t="n">
        <v>13</v>
      </c>
      <c r="H175" s="52" t="n">
        <v>450</v>
      </c>
      <c r="I175" s="49" t="n">
        <v>0</v>
      </c>
      <c r="J175" s="52" t="n">
        <f aca="false">G175*H175*(1-I175)</f>
        <v>5850</v>
      </c>
      <c r="K175" s="49" t="n">
        <f aca="false">INDEX('🧮 Formulas'!$F$6:$F$8,MATCH(D175,'🧮 Formulas'!$E$6:$E$8,0))</f>
        <v>0.3</v>
      </c>
      <c r="L175" s="52" t="n">
        <f aca="false">J175*K175</f>
        <v>1755</v>
      </c>
      <c r="M175" s="47" t="n">
        <f aca="false">MONTH(B175)</f>
        <v>8</v>
      </c>
      <c r="N175" s="47" t="str">
        <f aca="false">TEXT(B175,"mmm")</f>
        <v>Aug</v>
      </c>
    </row>
    <row r="176" customFormat="false" ht="15" hidden="false" customHeight="false" outlineLevel="0" collapsed="false">
      <c r="A176" s="47" t="s">
        <v>475</v>
      </c>
      <c r="B176" s="51" t="n">
        <v>45884</v>
      </c>
      <c r="C176" s="47" t="s">
        <v>66</v>
      </c>
      <c r="D176" s="47" t="s">
        <v>128</v>
      </c>
      <c r="E176" s="47" t="s">
        <v>144</v>
      </c>
      <c r="F176" s="47" t="s">
        <v>141</v>
      </c>
      <c r="G176" s="47" t="n">
        <v>9</v>
      </c>
      <c r="H176" s="52" t="n">
        <v>180</v>
      </c>
      <c r="I176" s="49" t="n">
        <v>0.1</v>
      </c>
      <c r="J176" s="52" t="n">
        <f aca="false">G176*H176*(1-I176)</f>
        <v>1458</v>
      </c>
      <c r="K176" s="49" t="n">
        <f aca="false">INDEX('🧮 Formulas'!$F$6:$F$8,MATCH(D176,'🧮 Formulas'!$E$6:$E$8,0))</f>
        <v>0.3</v>
      </c>
      <c r="L176" s="52" t="n">
        <f aca="false">J176*K176</f>
        <v>437.4</v>
      </c>
      <c r="M176" s="47" t="n">
        <f aca="false">MONTH(B176)</f>
        <v>8</v>
      </c>
      <c r="N176" s="47" t="str">
        <f aca="false">TEXT(B176,"mmm")</f>
        <v>Aug</v>
      </c>
    </row>
    <row r="177" customFormat="false" ht="15" hidden="false" customHeight="false" outlineLevel="0" collapsed="false">
      <c r="A177" s="47" t="s">
        <v>241</v>
      </c>
      <c r="B177" s="51" t="n">
        <v>45884</v>
      </c>
      <c r="C177" s="47" t="s">
        <v>68</v>
      </c>
      <c r="D177" s="47" t="s">
        <v>128</v>
      </c>
      <c r="E177" s="47" t="s">
        <v>155</v>
      </c>
      <c r="F177" s="47" t="s">
        <v>141</v>
      </c>
      <c r="G177" s="47" t="n">
        <v>14</v>
      </c>
      <c r="H177" s="52" t="n">
        <v>250</v>
      </c>
      <c r="I177" s="49" t="n">
        <v>0.1</v>
      </c>
      <c r="J177" s="52" t="n">
        <f aca="false">G177*H177*(1-I177)</f>
        <v>3150</v>
      </c>
      <c r="K177" s="49" t="n">
        <f aca="false">INDEX('🧮 Formulas'!$F$6:$F$8,MATCH(D177,'🧮 Formulas'!$E$6:$E$8,0))</f>
        <v>0.3</v>
      </c>
      <c r="L177" s="52" t="n">
        <f aca="false">J177*K177</f>
        <v>945</v>
      </c>
      <c r="M177" s="47" t="n">
        <f aca="false">MONTH(B177)</f>
        <v>8</v>
      </c>
      <c r="N177" s="47" t="str">
        <f aca="false">TEXT(B177,"mmm")</f>
        <v>Aug</v>
      </c>
    </row>
    <row r="178" customFormat="false" ht="15" hidden="false" customHeight="false" outlineLevel="0" collapsed="false">
      <c r="A178" s="47" t="s">
        <v>225</v>
      </c>
      <c r="B178" s="51" t="n">
        <v>45884</v>
      </c>
      <c r="C178" s="47" t="s">
        <v>67</v>
      </c>
      <c r="D178" s="47" t="s">
        <v>128</v>
      </c>
      <c r="E178" s="47" t="s">
        <v>149</v>
      </c>
      <c r="F178" s="47" t="s">
        <v>141</v>
      </c>
      <c r="G178" s="47" t="n">
        <v>3</v>
      </c>
      <c r="H178" s="52" t="n">
        <v>450</v>
      </c>
      <c r="I178" s="49" t="n">
        <v>0.05</v>
      </c>
      <c r="J178" s="52" t="n">
        <f aca="false">G178*H178*(1-I178)</f>
        <v>1282.5</v>
      </c>
      <c r="K178" s="49" t="n">
        <f aca="false">INDEX('🧮 Formulas'!$F$6:$F$8,MATCH(D178,'🧮 Formulas'!$E$6:$E$8,0))</f>
        <v>0.3</v>
      </c>
      <c r="L178" s="52" t="n">
        <f aca="false">J178*K178</f>
        <v>384.75</v>
      </c>
      <c r="M178" s="47" t="n">
        <f aca="false">MONTH(B178)</f>
        <v>8</v>
      </c>
      <c r="N178" s="47" t="str">
        <f aca="false">TEXT(B178,"mmm")</f>
        <v>Aug</v>
      </c>
    </row>
    <row r="179" customFormat="false" ht="15" hidden="false" customHeight="false" outlineLevel="0" collapsed="false">
      <c r="A179" s="47" t="s">
        <v>350</v>
      </c>
      <c r="B179" s="51" t="n">
        <v>45885</v>
      </c>
      <c r="C179" s="47" t="s">
        <v>66</v>
      </c>
      <c r="D179" s="47" t="s">
        <v>124</v>
      </c>
      <c r="E179" s="47" t="s">
        <v>131</v>
      </c>
      <c r="F179" s="47" t="s">
        <v>141</v>
      </c>
      <c r="G179" s="47" t="n">
        <v>1</v>
      </c>
      <c r="H179" s="52" t="n">
        <v>55000</v>
      </c>
      <c r="I179" s="49" t="n">
        <v>0.05</v>
      </c>
      <c r="J179" s="52" t="n">
        <f aca="false">G179*H179*(1-I179)</f>
        <v>52250</v>
      </c>
      <c r="K179" s="49" t="n">
        <f aca="false">INDEX('🧮 Formulas'!$F$6:$F$8,MATCH(D179,'🧮 Formulas'!$E$6:$E$8,0))</f>
        <v>0.18</v>
      </c>
      <c r="L179" s="52" t="n">
        <f aca="false">J179*K179</f>
        <v>9405</v>
      </c>
      <c r="M179" s="47" t="n">
        <f aca="false">MONTH(B179)</f>
        <v>8</v>
      </c>
      <c r="N179" s="47" t="str">
        <f aca="false">TEXT(B179,"mmm")</f>
        <v>Aug</v>
      </c>
    </row>
    <row r="180" customFormat="false" ht="15" hidden="false" customHeight="false" outlineLevel="0" collapsed="false">
      <c r="A180" s="47" t="s">
        <v>324</v>
      </c>
      <c r="B180" s="51" t="n">
        <v>45885</v>
      </c>
      <c r="C180" s="47" t="s">
        <v>67</v>
      </c>
      <c r="D180" s="47" t="s">
        <v>124</v>
      </c>
      <c r="E180" s="47" t="s">
        <v>125</v>
      </c>
      <c r="F180" s="47" t="s">
        <v>141</v>
      </c>
      <c r="G180" s="47" t="n">
        <v>2</v>
      </c>
      <c r="H180" s="52" t="n">
        <v>3500</v>
      </c>
      <c r="I180" s="49" t="n">
        <v>0.1</v>
      </c>
      <c r="J180" s="52" t="n">
        <f aca="false">G180*H180*(1-I180)</f>
        <v>6300</v>
      </c>
      <c r="K180" s="49" t="n">
        <f aca="false">INDEX('🧮 Formulas'!$F$6:$F$8,MATCH(D180,'🧮 Formulas'!$E$6:$E$8,0))</f>
        <v>0.18</v>
      </c>
      <c r="L180" s="52" t="n">
        <f aca="false">J180*K180</f>
        <v>1134</v>
      </c>
      <c r="M180" s="47" t="n">
        <f aca="false">MONTH(B180)</f>
        <v>8</v>
      </c>
      <c r="N180" s="47" t="str">
        <f aca="false">TEXT(B180,"mmm")</f>
        <v>Aug</v>
      </c>
    </row>
    <row r="181" customFormat="false" ht="15" hidden="false" customHeight="false" outlineLevel="0" collapsed="false">
      <c r="A181" s="47" t="s">
        <v>154</v>
      </c>
      <c r="B181" s="51" t="n">
        <v>45885</v>
      </c>
      <c r="C181" s="47" t="s">
        <v>65</v>
      </c>
      <c r="D181" s="47" t="s">
        <v>128</v>
      </c>
      <c r="E181" s="47" t="s">
        <v>155</v>
      </c>
      <c r="F181" s="47" t="s">
        <v>141</v>
      </c>
      <c r="G181" s="47" t="n">
        <v>7</v>
      </c>
      <c r="H181" s="52" t="n">
        <v>250</v>
      </c>
      <c r="I181" s="49" t="n">
        <v>0</v>
      </c>
      <c r="J181" s="52" t="n">
        <f aca="false">G181*H181*(1-I181)</f>
        <v>1750</v>
      </c>
      <c r="K181" s="49" t="n">
        <f aca="false">INDEX('🧮 Formulas'!$F$6:$F$8,MATCH(D181,'🧮 Formulas'!$E$6:$E$8,0))</f>
        <v>0.3</v>
      </c>
      <c r="L181" s="52" t="n">
        <f aca="false">J181*K181</f>
        <v>525</v>
      </c>
      <c r="M181" s="47" t="n">
        <f aca="false">MONTH(B181)</f>
        <v>8</v>
      </c>
      <c r="N181" s="47" t="str">
        <f aca="false">TEXT(B181,"mmm")</f>
        <v>Aug</v>
      </c>
    </row>
    <row r="182" customFormat="false" ht="15" hidden="false" customHeight="false" outlineLevel="0" collapsed="false">
      <c r="A182" s="47" t="s">
        <v>260</v>
      </c>
      <c r="B182" s="51" t="n">
        <v>45886</v>
      </c>
      <c r="C182" s="47" t="s">
        <v>68</v>
      </c>
      <c r="D182" s="47" t="s">
        <v>124</v>
      </c>
      <c r="E182" s="47" t="s">
        <v>125</v>
      </c>
      <c r="F182" s="47" t="s">
        <v>126</v>
      </c>
      <c r="G182" s="47" t="n">
        <v>3</v>
      </c>
      <c r="H182" s="52" t="n">
        <v>3500</v>
      </c>
      <c r="I182" s="49" t="n">
        <v>0.2</v>
      </c>
      <c r="J182" s="52" t="n">
        <f aca="false">G182*H182*(1-I182)</f>
        <v>8400</v>
      </c>
      <c r="K182" s="49" t="n">
        <f aca="false">INDEX('🧮 Formulas'!$F$6:$F$8,MATCH(D182,'🧮 Formulas'!$E$6:$E$8,0))</f>
        <v>0.18</v>
      </c>
      <c r="L182" s="52" t="n">
        <f aca="false">J182*K182</f>
        <v>1512</v>
      </c>
      <c r="M182" s="47" t="n">
        <f aca="false">MONTH(B182)</f>
        <v>8</v>
      </c>
      <c r="N182" s="47" t="str">
        <f aca="false">TEXT(B182,"mmm")</f>
        <v>Aug</v>
      </c>
    </row>
    <row r="183" customFormat="false" ht="15" hidden="false" customHeight="false" outlineLevel="0" collapsed="false">
      <c r="A183" s="47" t="s">
        <v>391</v>
      </c>
      <c r="B183" s="51" t="n">
        <v>45887</v>
      </c>
      <c r="C183" s="47" t="s">
        <v>67</v>
      </c>
      <c r="D183" s="47" t="s">
        <v>136</v>
      </c>
      <c r="E183" s="47" t="s">
        <v>160</v>
      </c>
      <c r="F183" s="47" t="s">
        <v>141</v>
      </c>
      <c r="G183" s="47" t="n">
        <v>4</v>
      </c>
      <c r="H183" s="52" t="n">
        <v>8500</v>
      </c>
      <c r="I183" s="49" t="n">
        <v>0.15</v>
      </c>
      <c r="J183" s="52" t="n">
        <f aca="false">G183*H183*(1-I183)</f>
        <v>28900</v>
      </c>
      <c r="K183" s="49" t="n">
        <f aca="false">INDEX('🧮 Formulas'!$F$6:$F$8,MATCH(D183,'🧮 Formulas'!$E$6:$E$8,0))</f>
        <v>0.22</v>
      </c>
      <c r="L183" s="52" t="n">
        <f aca="false">J183*K183</f>
        <v>6358</v>
      </c>
      <c r="M183" s="47" t="n">
        <f aca="false">MONTH(B183)</f>
        <v>8</v>
      </c>
      <c r="N183" s="47" t="str">
        <f aca="false">TEXT(B183,"mmm")</f>
        <v>Aug</v>
      </c>
    </row>
    <row r="184" customFormat="false" ht="15" hidden="false" customHeight="false" outlineLevel="0" collapsed="false">
      <c r="A184" s="47" t="s">
        <v>302</v>
      </c>
      <c r="B184" s="51" t="n">
        <v>45888</v>
      </c>
      <c r="C184" s="47" t="s">
        <v>67</v>
      </c>
      <c r="D184" s="47" t="s">
        <v>128</v>
      </c>
      <c r="E184" s="47" t="s">
        <v>149</v>
      </c>
      <c r="F184" s="47" t="s">
        <v>126</v>
      </c>
      <c r="G184" s="47" t="n">
        <v>15</v>
      </c>
      <c r="H184" s="52" t="n">
        <v>450</v>
      </c>
      <c r="I184" s="49" t="n">
        <v>0.1</v>
      </c>
      <c r="J184" s="52" t="n">
        <f aca="false">G184*H184*(1-I184)</f>
        <v>6075</v>
      </c>
      <c r="K184" s="49" t="n">
        <f aca="false">INDEX('🧮 Formulas'!$F$6:$F$8,MATCH(D184,'🧮 Formulas'!$E$6:$E$8,0))</f>
        <v>0.3</v>
      </c>
      <c r="L184" s="52" t="n">
        <f aca="false">J184*K184</f>
        <v>1822.5</v>
      </c>
      <c r="M184" s="47" t="n">
        <f aca="false">MONTH(B184)</f>
        <v>8</v>
      </c>
      <c r="N184" s="47" t="str">
        <f aca="false">TEXT(B184,"mmm")</f>
        <v>Aug</v>
      </c>
    </row>
    <row r="185" customFormat="false" ht="15" hidden="false" customHeight="false" outlineLevel="0" collapsed="false">
      <c r="A185" s="47" t="s">
        <v>378</v>
      </c>
      <c r="B185" s="51" t="n">
        <v>45888</v>
      </c>
      <c r="C185" s="47" t="s">
        <v>68</v>
      </c>
      <c r="D185" s="47" t="s">
        <v>124</v>
      </c>
      <c r="E185" s="47" t="s">
        <v>125</v>
      </c>
      <c r="F185" s="47" t="s">
        <v>141</v>
      </c>
      <c r="G185" s="47" t="n">
        <v>1</v>
      </c>
      <c r="H185" s="52" t="n">
        <v>3500</v>
      </c>
      <c r="I185" s="49" t="n">
        <v>0.15</v>
      </c>
      <c r="J185" s="52" t="n">
        <f aca="false">G185*H185*(1-I185)</f>
        <v>2975</v>
      </c>
      <c r="K185" s="49" t="n">
        <f aca="false">INDEX('🧮 Formulas'!$F$6:$F$8,MATCH(D185,'🧮 Formulas'!$E$6:$E$8,0))</f>
        <v>0.18</v>
      </c>
      <c r="L185" s="52" t="n">
        <f aca="false">J185*K185</f>
        <v>535.5</v>
      </c>
      <c r="M185" s="47" t="n">
        <f aca="false">MONTH(B185)</f>
        <v>8</v>
      </c>
      <c r="N185" s="47" t="str">
        <f aca="false">TEXT(B185,"mmm")</f>
        <v>Aug</v>
      </c>
    </row>
    <row r="186" customFormat="false" ht="15" hidden="false" customHeight="false" outlineLevel="0" collapsed="false">
      <c r="A186" s="47" t="s">
        <v>257</v>
      </c>
      <c r="B186" s="51" t="n">
        <v>45889</v>
      </c>
      <c r="C186" s="47" t="s">
        <v>66</v>
      </c>
      <c r="D186" s="47" t="s">
        <v>128</v>
      </c>
      <c r="E186" s="47" t="s">
        <v>149</v>
      </c>
      <c r="F186" s="47" t="s">
        <v>134</v>
      </c>
      <c r="G186" s="47" t="n">
        <v>8</v>
      </c>
      <c r="H186" s="52" t="n">
        <v>450</v>
      </c>
      <c r="I186" s="49" t="n">
        <v>0.05</v>
      </c>
      <c r="J186" s="52" t="n">
        <f aca="false">G186*H186*(1-I186)</f>
        <v>3420</v>
      </c>
      <c r="K186" s="49" t="n">
        <f aca="false">INDEX('🧮 Formulas'!$F$6:$F$8,MATCH(D186,'🧮 Formulas'!$E$6:$E$8,0))</f>
        <v>0.3</v>
      </c>
      <c r="L186" s="52" t="n">
        <f aca="false">J186*K186</f>
        <v>1026</v>
      </c>
      <c r="M186" s="47" t="n">
        <f aca="false">MONTH(B186)</f>
        <v>8</v>
      </c>
      <c r="N186" s="47" t="str">
        <f aca="false">TEXT(B186,"mmm")</f>
        <v>Aug</v>
      </c>
    </row>
    <row r="187" customFormat="false" ht="15" hidden="false" customHeight="false" outlineLevel="0" collapsed="false">
      <c r="A187" s="47" t="s">
        <v>191</v>
      </c>
      <c r="B187" s="51" t="n">
        <v>45889</v>
      </c>
      <c r="C187" s="47" t="s">
        <v>66</v>
      </c>
      <c r="D187" s="47" t="s">
        <v>124</v>
      </c>
      <c r="E187" s="47" t="s">
        <v>133</v>
      </c>
      <c r="F187" s="47" t="s">
        <v>141</v>
      </c>
      <c r="G187" s="47" t="n">
        <v>1</v>
      </c>
      <c r="H187" s="52" t="n">
        <v>22000</v>
      </c>
      <c r="I187" s="49" t="n">
        <v>0.1</v>
      </c>
      <c r="J187" s="52" t="n">
        <f aca="false">G187*H187*(1-I187)</f>
        <v>19800</v>
      </c>
      <c r="K187" s="49" t="n">
        <f aca="false">INDEX('🧮 Formulas'!$F$6:$F$8,MATCH(D187,'🧮 Formulas'!$E$6:$E$8,0))</f>
        <v>0.18</v>
      </c>
      <c r="L187" s="52" t="n">
        <f aca="false">J187*K187</f>
        <v>3564</v>
      </c>
      <c r="M187" s="47" t="n">
        <f aca="false">MONTH(B187)</f>
        <v>8</v>
      </c>
      <c r="N187" s="47" t="str">
        <f aca="false">TEXT(B187,"mmm")</f>
        <v>Aug</v>
      </c>
    </row>
    <row r="188" customFormat="false" ht="15" hidden="false" customHeight="false" outlineLevel="0" collapsed="false">
      <c r="A188" s="47" t="s">
        <v>243</v>
      </c>
      <c r="B188" s="51" t="n">
        <v>45890</v>
      </c>
      <c r="C188" s="47" t="s">
        <v>67</v>
      </c>
      <c r="D188" s="47" t="s">
        <v>136</v>
      </c>
      <c r="E188" s="47" t="s">
        <v>184</v>
      </c>
      <c r="F188" s="47" t="s">
        <v>126</v>
      </c>
      <c r="G188" s="47" t="n">
        <v>4</v>
      </c>
      <c r="H188" s="52" t="n">
        <v>1800</v>
      </c>
      <c r="I188" s="49" t="n">
        <v>0.05</v>
      </c>
      <c r="J188" s="52" t="n">
        <f aca="false">G188*H188*(1-I188)</f>
        <v>6840</v>
      </c>
      <c r="K188" s="49" t="n">
        <f aca="false">INDEX('🧮 Formulas'!$F$6:$F$8,MATCH(D188,'🧮 Formulas'!$E$6:$E$8,0))</f>
        <v>0.22</v>
      </c>
      <c r="L188" s="52" t="n">
        <f aca="false">J188*K188</f>
        <v>1504.8</v>
      </c>
      <c r="M188" s="47" t="n">
        <f aca="false">MONTH(B188)</f>
        <v>8</v>
      </c>
      <c r="N188" s="47" t="str">
        <f aca="false">TEXT(B188,"mmm")</f>
        <v>Aug</v>
      </c>
    </row>
    <row r="189" customFormat="false" ht="15" hidden="false" customHeight="false" outlineLevel="0" collapsed="false">
      <c r="A189" s="47" t="s">
        <v>329</v>
      </c>
      <c r="B189" s="51" t="n">
        <v>45892</v>
      </c>
      <c r="C189" s="47" t="s">
        <v>65</v>
      </c>
      <c r="D189" s="47" t="s">
        <v>128</v>
      </c>
      <c r="E189" s="47" t="s">
        <v>129</v>
      </c>
      <c r="F189" s="47" t="s">
        <v>134</v>
      </c>
      <c r="G189" s="47" t="n">
        <v>13</v>
      </c>
      <c r="H189" s="52" t="n">
        <v>120</v>
      </c>
      <c r="I189" s="49" t="n">
        <v>0</v>
      </c>
      <c r="J189" s="52" t="n">
        <f aca="false">G189*H189*(1-I189)</f>
        <v>1560</v>
      </c>
      <c r="K189" s="49" t="n">
        <f aca="false">INDEX('🧮 Formulas'!$F$6:$F$8,MATCH(D189,'🧮 Formulas'!$E$6:$E$8,0))</f>
        <v>0.3</v>
      </c>
      <c r="L189" s="52" t="n">
        <f aca="false">J189*K189</f>
        <v>468</v>
      </c>
      <c r="M189" s="47" t="n">
        <f aca="false">MONTH(B189)</f>
        <v>8</v>
      </c>
      <c r="N189" s="47" t="str">
        <f aca="false">TEXT(B189,"mmm")</f>
        <v>Aug</v>
      </c>
    </row>
    <row r="190" customFormat="false" ht="15" hidden="false" customHeight="false" outlineLevel="0" collapsed="false">
      <c r="A190" s="47" t="s">
        <v>273</v>
      </c>
      <c r="B190" s="51" t="n">
        <v>45894</v>
      </c>
      <c r="C190" s="47" t="s">
        <v>65</v>
      </c>
      <c r="D190" s="47" t="s">
        <v>124</v>
      </c>
      <c r="E190" s="47" t="s">
        <v>131</v>
      </c>
      <c r="F190" s="47" t="s">
        <v>134</v>
      </c>
      <c r="G190" s="47" t="n">
        <v>4</v>
      </c>
      <c r="H190" s="52" t="n">
        <v>55000</v>
      </c>
      <c r="I190" s="49" t="n">
        <v>0.15</v>
      </c>
      <c r="J190" s="52" t="n">
        <f aca="false">G190*H190*(1-I190)</f>
        <v>187000</v>
      </c>
      <c r="K190" s="49" t="n">
        <f aca="false">INDEX('🧮 Formulas'!$F$6:$F$8,MATCH(D190,'🧮 Formulas'!$E$6:$E$8,0))</f>
        <v>0.18</v>
      </c>
      <c r="L190" s="52" t="n">
        <f aca="false">J190*K190</f>
        <v>33660</v>
      </c>
      <c r="M190" s="47" t="n">
        <f aca="false">MONTH(B190)</f>
        <v>8</v>
      </c>
      <c r="N190" s="47" t="str">
        <f aca="false">TEXT(B190,"mmm")</f>
        <v>Aug</v>
      </c>
    </row>
    <row r="191" customFormat="false" ht="15" hidden="false" customHeight="false" outlineLevel="0" collapsed="false">
      <c r="A191" s="47" t="s">
        <v>365</v>
      </c>
      <c r="B191" s="51" t="n">
        <v>45895</v>
      </c>
      <c r="C191" s="47" t="s">
        <v>68</v>
      </c>
      <c r="D191" s="47" t="s">
        <v>136</v>
      </c>
      <c r="E191" s="47" t="s">
        <v>137</v>
      </c>
      <c r="F191" s="47" t="s">
        <v>141</v>
      </c>
      <c r="G191" s="47" t="n">
        <v>6</v>
      </c>
      <c r="H191" s="52" t="n">
        <v>12000</v>
      </c>
      <c r="I191" s="49" t="n">
        <v>0</v>
      </c>
      <c r="J191" s="52" t="n">
        <f aca="false">G191*H191*(1-I191)</f>
        <v>72000</v>
      </c>
      <c r="K191" s="49" t="n">
        <f aca="false">INDEX('🧮 Formulas'!$F$6:$F$8,MATCH(D191,'🧮 Formulas'!$E$6:$E$8,0))</f>
        <v>0.22</v>
      </c>
      <c r="L191" s="52" t="n">
        <f aca="false">J191*K191</f>
        <v>15840</v>
      </c>
      <c r="M191" s="47" t="n">
        <f aca="false">MONTH(B191)</f>
        <v>8</v>
      </c>
      <c r="N191" s="47" t="str">
        <f aca="false">TEXT(B191,"mmm")</f>
        <v>Aug</v>
      </c>
    </row>
    <row r="192" customFormat="false" ht="15" hidden="false" customHeight="false" outlineLevel="0" collapsed="false">
      <c r="A192" s="47" t="s">
        <v>327</v>
      </c>
      <c r="B192" s="51" t="n">
        <v>45898</v>
      </c>
      <c r="C192" s="47" t="s">
        <v>66</v>
      </c>
      <c r="D192" s="47" t="s">
        <v>124</v>
      </c>
      <c r="E192" s="47" t="s">
        <v>133</v>
      </c>
      <c r="F192" s="47" t="s">
        <v>134</v>
      </c>
      <c r="G192" s="47" t="n">
        <v>3</v>
      </c>
      <c r="H192" s="52" t="n">
        <v>22000</v>
      </c>
      <c r="I192" s="49" t="n">
        <v>0.2</v>
      </c>
      <c r="J192" s="52" t="n">
        <f aca="false">G192*H192*(1-I192)</f>
        <v>52800</v>
      </c>
      <c r="K192" s="49" t="n">
        <f aca="false">INDEX('🧮 Formulas'!$F$6:$F$8,MATCH(D192,'🧮 Formulas'!$E$6:$E$8,0))</f>
        <v>0.18</v>
      </c>
      <c r="L192" s="52" t="n">
        <f aca="false">J192*K192</f>
        <v>9504</v>
      </c>
      <c r="M192" s="47" t="n">
        <f aca="false">MONTH(B192)</f>
        <v>8</v>
      </c>
      <c r="N192" s="47" t="str">
        <f aca="false">TEXT(B192,"mmm")</f>
        <v>Aug</v>
      </c>
    </row>
    <row r="193" customFormat="false" ht="15" hidden="false" customHeight="false" outlineLevel="0" collapsed="false">
      <c r="A193" s="47" t="s">
        <v>376</v>
      </c>
      <c r="B193" s="51" t="n">
        <v>45900</v>
      </c>
      <c r="C193" s="47" t="s">
        <v>68</v>
      </c>
      <c r="D193" s="47" t="s">
        <v>128</v>
      </c>
      <c r="E193" s="47" t="s">
        <v>144</v>
      </c>
      <c r="F193" s="47" t="s">
        <v>126</v>
      </c>
      <c r="G193" s="47" t="n">
        <v>5</v>
      </c>
      <c r="H193" s="52" t="n">
        <v>180</v>
      </c>
      <c r="I193" s="49" t="n">
        <v>0</v>
      </c>
      <c r="J193" s="52" t="n">
        <f aca="false">G193*H193*(1-I193)</f>
        <v>900</v>
      </c>
      <c r="K193" s="49" t="n">
        <f aca="false">INDEX('🧮 Formulas'!$F$6:$F$8,MATCH(D193,'🧮 Formulas'!$E$6:$E$8,0))</f>
        <v>0.3</v>
      </c>
      <c r="L193" s="52" t="n">
        <f aca="false">J193*K193</f>
        <v>270</v>
      </c>
      <c r="M193" s="47" t="n">
        <f aca="false">MONTH(B193)</f>
        <v>8</v>
      </c>
      <c r="N193" s="47" t="str">
        <f aca="false">TEXT(B193,"mmm")</f>
        <v>Aug</v>
      </c>
    </row>
    <row r="194" customFormat="false" ht="15" hidden="false" customHeight="false" outlineLevel="0" collapsed="false">
      <c r="A194" s="47" t="s">
        <v>279</v>
      </c>
      <c r="B194" s="51" t="n">
        <v>45900</v>
      </c>
      <c r="C194" s="47" t="s">
        <v>65</v>
      </c>
      <c r="D194" s="47" t="s">
        <v>128</v>
      </c>
      <c r="E194" s="47" t="s">
        <v>149</v>
      </c>
      <c r="F194" s="47" t="s">
        <v>141</v>
      </c>
      <c r="G194" s="47" t="n">
        <v>4</v>
      </c>
      <c r="H194" s="52" t="n">
        <v>450</v>
      </c>
      <c r="I194" s="49" t="n">
        <v>0</v>
      </c>
      <c r="J194" s="52" t="n">
        <f aca="false">G194*H194*(1-I194)</f>
        <v>1800</v>
      </c>
      <c r="K194" s="49" t="n">
        <f aca="false">INDEX('🧮 Formulas'!$F$6:$F$8,MATCH(D194,'🧮 Formulas'!$E$6:$E$8,0))</f>
        <v>0.3</v>
      </c>
      <c r="L194" s="52" t="n">
        <f aca="false">J194*K194</f>
        <v>540</v>
      </c>
      <c r="M194" s="47" t="n">
        <f aca="false">MONTH(B194)</f>
        <v>8</v>
      </c>
      <c r="N194" s="47" t="str">
        <f aca="false">TEXT(B194,"mmm")</f>
        <v>Aug</v>
      </c>
    </row>
    <row r="195" customFormat="false" ht="15" hidden="false" customHeight="false" outlineLevel="0" collapsed="false">
      <c r="A195" s="47" t="s">
        <v>370</v>
      </c>
      <c r="B195" s="51" t="n">
        <v>45901</v>
      </c>
      <c r="C195" s="47" t="s">
        <v>66</v>
      </c>
      <c r="D195" s="47" t="s">
        <v>128</v>
      </c>
      <c r="E195" s="47" t="s">
        <v>149</v>
      </c>
      <c r="F195" s="47" t="s">
        <v>134</v>
      </c>
      <c r="G195" s="47" t="n">
        <v>12</v>
      </c>
      <c r="H195" s="52" t="n">
        <v>450</v>
      </c>
      <c r="I195" s="49" t="n">
        <v>0.15</v>
      </c>
      <c r="J195" s="52" t="n">
        <f aca="false">G195*H195*(1-I195)</f>
        <v>4590</v>
      </c>
      <c r="K195" s="49" t="n">
        <f aca="false">INDEX('🧮 Formulas'!$F$6:$F$8,MATCH(D195,'🧮 Formulas'!$E$6:$E$8,0))</f>
        <v>0.3</v>
      </c>
      <c r="L195" s="52" t="n">
        <f aca="false">J195*K195</f>
        <v>1377</v>
      </c>
      <c r="M195" s="47" t="n">
        <f aca="false">MONTH(B195)</f>
        <v>9</v>
      </c>
      <c r="N195" s="47" t="str">
        <f aca="false">TEXT(B195,"mmm")</f>
        <v>Sep</v>
      </c>
    </row>
    <row r="196" customFormat="false" ht="15" hidden="false" customHeight="false" outlineLevel="0" collapsed="false">
      <c r="A196" s="47" t="s">
        <v>452</v>
      </c>
      <c r="B196" s="51" t="n">
        <v>45901</v>
      </c>
      <c r="C196" s="47" t="s">
        <v>65</v>
      </c>
      <c r="D196" s="47" t="s">
        <v>124</v>
      </c>
      <c r="E196" s="47" t="s">
        <v>131</v>
      </c>
      <c r="F196" s="47" t="s">
        <v>134</v>
      </c>
      <c r="G196" s="47" t="n">
        <v>2</v>
      </c>
      <c r="H196" s="52" t="n">
        <v>55000</v>
      </c>
      <c r="I196" s="49" t="n">
        <v>0.1</v>
      </c>
      <c r="J196" s="52" t="n">
        <f aca="false">G196*H196*(1-I196)</f>
        <v>99000</v>
      </c>
      <c r="K196" s="49" t="n">
        <f aca="false">INDEX('🧮 Formulas'!$F$6:$F$8,MATCH(D196,'🧮 Formulas'!$E$6:$E$8,0))</f>
        <v>0.18</v>
      </c>
      <c r="L196" s="52" t="n">
        <f aca="false">J196*K196</f>
        <v>17820</v>
      </c>
      <c r="M196" s="47" t="n">
        <f aca="false">MONTH(B196)</f>
        <v>9</v>
      </c>
      <c r="N196" s="47" t="str">
        <f aca="false">TEXT(B196,"mmm")</f>
        <v>Sep</v>
      </c>
    </row>
    <row r="197" customFormat="false" ht="15" hidden="false" customHeight="false" outlineLevel="0" collapsed="false">
      <c r="A197" s="47" t="s">
        <v>460</v>
      </c>
      <c r="B197" s="51" t="n">
        <v>45901</v>
      </c>
      <c r="C197" s="47" t="s">
        <v>66</v>
      </c>
      <c r="D197" s="47" t="s">
        <v>128</v>
      </c>
      <c r="E197" s="47" t="s">
        <v>155</v>
      </c>
      <c r="F197" s="47" t="s">
        <v>126</v>
      </c>
      <c r="G197" s="47" t="n">
        <v>11</v>
      </c>
      <c r="H197" s="52" t="n">
        <v>250</v>
      </c>
      <c r="I197" s="49" t="n">
        <v>0.1</v>
      </c>
      <c r="J197" s="52" t="n">
        <f aca="false">G197*H197*(1-I197)</f>
        <v>2475</v>
      </c>
      <c r="K197" s="49" t="n">
        <f aca="false">INDEX('🧮 Formulas'!$F$6:$F$8,MATCH(D197,'🧮 Formulas'!$E$6:$E$8,0))</f>
        <v>0.3</v>
      </c>
      <c r="L197" s="52" t="n">
        <f aca="false">J197*K197</f>
        <v>742.5</v>
      </c>
      <c r="M197" s="47" t="n">
        <f aca="false">MONTH(B197)</f>
        <v>9</v>
      </c>
      <c r="N197" s="47" t="str">
        <f aca="false">TEXT(B197,"mmm")</f>
        <v>Sep</v>
      </c>
    </row>
    <row r="198" customFormat="false" ht="15" hidden="false" customHeight="false" outlineLevel="0" collapsed="false">
      <c r="A198" s="47" t="s">
        <v>215</v>
      </c>
      <c r="B198" s="51" t="n">
        <v>45904</v>
      </c>
      <c r="C198" s="47" t="s">
        <v>67</v>
      </c>
      <c r="D198" s="47" t="s">
        <v>128</v>
      </c>
      <c r="E198" s="47" t="s">
        <v>149</v>
      </c>
      <c r="F198" s="47" t="s">
        <v>141</v>
      </c>
      <c r="G198" s="47" t="n">
        <v>6</v>
      </c>
      <c r="H198" s="52" t="n">
        <v>450</v>
      </c>
      <c r="I198" s="49" t="n">
        <v>0.05</v>
      </c>
      <c r="J198" s="52" t="n">
        <f aca="false">G198*H198*(1-I198)</f>
        <v>2565</v>
      </c>
      <c r="K198" s="49" t="n">
        <f aca="false">INDEX('🧮 Formulas'!$F$6:$F$8,MATCH(D198,'🧮 Formulas'!$E$6:$E$8,0))</f>
        <v>0.3</v>
      </c>
      <c r="L198" s="52" t="n">
        <f aca="false">J198*K198</f>
        <v>769.5</v>
      </c>
      <c r="M198" s="47" t="n">
        <f aca="false">MONTH(B198)</f>
        <v>9</v>
      </c>
      <c r="N198" s="47" t="str">
        <f aca="false">TEXT(B198,"mmm")</f>
        <v>Sep</v>
      </c>
    </row>
    <row r="199" customFormat="false" ht="15" hidden="false" customHeight="false" outlineLevel="0" collapsed="false">
      <c r="A199" s="47" t="s">
        <v>187</v>
      </c>
      <c r="B199" s="51" t="n">
        <v>45905</v>
      </c>
      <c r="C199" s="47" t="s">
        <v>66</v>
      </c>
      <c r="D199" s="47" t="s">
        <v>124</v>
      </c>
      <c r="E199" s="47" t="s">
        <v>125</v>
      </c>
      <c r="F199" s="47" t="s">
        <v>141</v>
      </c>
      <c r="G199" s="47" t="n">
        <v>3</v>
      </c>
      <c r="H199" s="52" t="n">
        <v>3500</v>
      </c>
      <c r="I199" s="49" t="n">
        <v>0.1</v>
      </c>
      <c r="J199" s="52" t="n">
        <f aca="false">G199*H199*(1-I199)</f>
        <v>9450</v>
      </c>
      <c r="K199" s="49" t="n">
        <f aca="false">INDEX('🧮 Formulas'!$F$6:$F$8,MATCH(D199,'🧮 Formulas'!$E$6:$E$8,0))</f>
        <v>0.18</v>
      </c>
      <c r="L199" s="52" t="n">
        <f aca="false">J199*K199</f>
        <v>1701</v>
      </c>
      <c r="M199" s="47" t="n">
        <f aca="false">MONTH(B199)</f>
        <v>9</v>
      </c>
      <c r="N199" s="47" t="str">
        <f aca="false">TEXT(B199,"mmm")</f>
        <v>Sep</v>
      </c>
    </row>
    <row r="200" customFormat="false" ht="15" hidden="false" customHeight="false" outlineLevel="0" collapsed="false">
      <c r="A200" s="47" t="s">
        <v>388</v>
      </c>
      <c r="B200" s="51" t="n">
        <v>45906</v>
      </c>
      <c r="C200" s="47" t="s">
        <v>66</v>
      </c>
      <c r="D200" s="47" t="s">
        <v>136</v>
      </c>
      <c r="E200" s="47" t="s">
        <v>139</v>
      </c>
      <c r="F200" s="47" t="s">
        <v>141</v>
      </c>
      <c r="G200" s="47" t="n">
        <v>6</v>
      </c>
      <c r="H200" s="52" t="n">
        <v>6500</v>
      </c>
      <c r="I200" s="49" t="n">
        <v>0</v>
      </c>
      <c r="J200" s="52" t="n">
        <f aca="false">G200*H200*(1-I200)</f>
        <v>39000</v>
      </c>
      <c r="K200" s="49" t="n">
        <f aca="false">INDEX('🧮 Formulas'!$F$6:$F$8,MATCH(D200,'🧮 Formulas'!$E$6:$E$8,0))</f>
        <v>0.22</v>
      </c>
      <c r="L200" s="52" t="n">
        <f aca="false">J200*K200</f>
        <v>8580</v>
      </c>
      <c r="M200" s="47" t="n">
        <f aca="false">MONTH(B200)</f>
        <v>9</v>
      </c>
      <c r="N200" s="47" t="str">
        <f aca="false">TEXT(B200,"mmm")</f>
        <v>Sep</v>
      </c>
    </row>
    <row r="201" customFormat="false" ht="15" hidden="false" customHeight="false" outlineLevel="0" collapsed="false">
      <c r="A201" s="47" t="s">
        <v>387</v>
      </c>
      <c r="B201" s="51" t="n">
        <v>45910</v>
      </c>
      <c r="C201" s="47" t="s">
        <v>65</v>
      </c>
      <c r="D201" s="47" t="s">
        <v>128</v>
      </c>
      <c r="E201" s="47" t="s">
        <v>149</v>
      </c>
      <c r="F201" s="47" t="s">
        <v>126</v>
      </c>
      <c r="G201" s="47" t="n">
        <v>10</v>
      </c>
      <c r="H201" s="52" t="n">
        <v>450</v>
      </c>
      <c r="I201" s="49" t="n">
        <v>0</v>
      </c>
      <c r="J201" s="52" t="n">
        <f aca="false">G201*H201*(1-I201)</f>
        <v>4500</v>
      </c>
      <c r="K201" s="49" t="n">
        <f aca="false">INDEX('🧮 Formulas'!$F$6:$F$8,MATCH(D201,'🧮 Formulas'!$E$6:$E$8,0))</f>
        <v>0.3</v>
      </c>
      <c r="L201" s="52" t="n">
        <f aca="false">J201*K201</f>
        <v>1350</v>
      </c>
      <c r="M201" s="47" t="n">
        <f aca="false">MONTH(B201)</f>
        <v>9</v>
      </c>
      <c r="N201" s="47" t="str">
        <f aca="false">TEXT(B201,"mmm")</f>
        <v>Sep</v>
      </c>
    </row>
    <row r="202" customFormat="false" ht="15" hidden="false" customHeight="false" outlineLevel="0" collapsed="false">
      <c r="A202" s="47" t="s">
        <v>463</v>
      </c>
      <c r="B202" s="51" t="n">
        <v>45912</v>
      </c>
      <c r="C202" s="47" t="s">
        <v>66</v>
      </c>
      <c r="D202" s="47" t="s">
        <v>124</v>
      </c>
      <c r="E202" s="47" t="s">
        <v>146</v>
      </c>
      <c r="F202" s="47" t="s">
        <v>126</v>
      </c>
      <c r="G202" s="47" t="n">
        <v>2</v>
      </c>
      <c r="H202" s="52" t="n">
        <v>14000</v>
      </c>
      <c r="I202" s="49" t="n">
        <v>0.1</v>
      </c>
      <c r="J202" s="52" t="n">
        <f aca="false">G202*H202*(1-I202)</f>
        <v>25200</v>
      </c>
      <c r="K202" s="49" t="n">
        <f aca="false">INDEX('🧮 Formulas'!$F$6:$F$8,MATCH(D202,'🧮 Formulas'!$E$6:$E$8,0))</f>
        <v>0.18</v>
      </c>
      <c r="L202" s="52" t="n">
        <f aca="false">J202*K202</f>
        <v>4536</v>
      </c>
      <c r="M202" s="47" t="n">
        <f aca="false">MONTH(B202)</f>
        <v>9</v>
      </c>
      <c r="N202" s="47" t="str">
        <f aca="false">TEXT(B202,"mmm")</f>
        <v>Sep</v>
      </c>
    </row>
    <row r="203" customFormat="false" ht="15" hidden="false" customHeight="false" outlineLevel="0" collapsed="false">
      <c r="A203" s="47" t="s">
        <v>432</v>
      </c>
      <c r="B203" s="51" t="n">
        <v>45912</v>
      </c>
      <c r="C203" s="47" t="s">
        <v>67</v>
      </c>
      <c r="D203" s="47" t="s">
        <v>136</v>
      </c>
      <c r="E203" s="47" t="s">
        <v>160</v>
      </c>
      <c r="F203" s="47" t="s">
        <v>126</v>
      </c>
      <c r="G203" s="47" t="n">
        <v>5</v>
      </c>
      <c r="H203" s="52" t="n">
        <v>8500</v>
      </c>
      <c r="I203" s="49" t="n">
        <v>0</v>
      </c>
      <c r="J203" s="52" t="n">
        <f aca="false">G203*H203*(1-I203)</f>
        <v>42500</v>
      </c>
      <c r="K203" s="49" t="n">
        <f aca="false">INDEX('🧮 Formulas'!$F$6:$F$8,MATCH(D203,'🧮 Formulas'!$E$6:$E$8,0))</f>
        <v>0.22</v>
      </c>
      <c r="L203" s="52" t="n">
        <f aca="false">J203*K203</f>
        <v>9350</v>
      </c>
      <c r="M203" s="47" t="n">
        <f aca="false">MONTH(B203)</f>
        <v>9</v>
      </c>
      <c r="N203" s="47" t="str">
        <f aca="false">TEXT(B203,"mmm")</f>
        <v>Sep</v>
      </c>
    </row>
    <row r="204" customFormat="false" ht="15" hidden="false" customHeight="false" outlineLevel="0" collapsed="false">
      <c r="A204" s="47" t="s">
        <v>213</v>
      </c>
      <c r="B204" s="51" t="n">
        <v>45916</v>
      </c>
      <c r="C204" s="47" t="s">
        <v>66</v>
      </c>
      <c r="D204" s="47" t="s">
        <v>124</v>
      </c>
      <c r="E204" s="47" t="s">
        <v>125</v>
      </c>
      <c r="F204" s="47" t="s">
        <v>126</v>
      </c>
      <c r="G204" s="47" t="n">
        <v>1</v>
      </c>
      <c r="H204" s="52" t="n">
        <v>3500</v>
      </c>
      <c r="I204" s="49" t="n">
        <v>0</v>
      </c>
      <c r="J204" s="52" t="n">
        <f aca="false">G204*H204*(1-I204)</f>
        <v>3500</v>
      </c>
      <c r="K204" s="49" t="n">
        <f aca="false">INDEX('🧮 Formulas'!$F$6:$F$8,MATCH(D204,'🧮 Formulas'!$E$6:$E$8,0))</f>
        <v>0.18</v>
      </c>
      <c r="L204" s="52" t="n">
        <f aca="false">J204*K204</f>
        <v>630</v>
      </c>
      <c r="M204" s="47" t="n">
        <f aca="false">MONTH(B204)</f>
        <v>9</v>
      </c>
      <c r="N204" s="47" t="str">
        <f aca="false">TEXT(B204,"mmm")</f>
        <v>Sep</v>
      </c>
    </row>
    <row r="205" customFormat="false" ht="15" hidden="false" customHeight="false" outlineLevel="0" collapsed="false">
      <c r="A205" s="47" t="s">
        <v>380</v>
      </c>
      <c r="B205" s="51" t="n">
        <v>45918</v>
      </c>
      <c r="C205" s="47" t="s">
        <v>65</v>
      </c>
      <c r="D205" s="47" t="s">
        <v>136</v>
      </c>
      <c r="E205" s="47" t="s">
        <v>137</v>
      </c>
      <c r="F205" s="47" t="s">
        <v>126</v>
      </c>
      <c r="G205" s="47" t="n">
        <v>1</v>
      </c>
      <c r="H205" s="52" t="n">
        <v>12000</v>
      </c>
      <c r="I205" s="49" t="n">
        <v>0</v>
      </c>
      <c r="J205" s="52" t="n">
        <f aca="false">G205*H205*(1-I205)</f>
        <v>12000</v>
      </c>
      <c r="K205" s="49" t="n">
        <f aca="false">INDEX('🧮 Formulas'!$F$6:$F$8,MATCH(D205,'🧮 Formulas'!$E$6:$E$8,0))</f>
        <v>0.22</v>
      </c>
      <c r="L205" s="52" t="n">
        <f aca="false">J205*K205</f>
        <v>2640</v>
      </c>
      <c r="M205" s="47" t="n">
        <f aca="false">MONTH(B205)</f>
        <v>9</v>
      </c>
      <c r="N205" s="47" t="str">
        <f aca="false">TEXT(B205,"mmm")</f>
        <v>Sep</v>
      </c>
    </row>
    <row r="206" customFormat="false" ht="15" hidden="false" customHeight="false" outlineLevel="0" collapsed="false">
      <c r="A206" s="47" t="s">
        <v>375</v>
      </c>
      <c r="B206" s="51" t="n">
        <v>45920</v>
      </c>
      <c r="C206" s="47" t="s">
        <v>66</v>
      </c>
      <c r="D206" s="47" t="s">
        <v>128</v>
      </c>
      <c r="E206" s="47" t="s">
        <v>155</v>
      </c>
      <c r="F206" s="47" t="s">
        <v>134</v>
      </c>
      <c r="G206" s="47" t="n">
        <v>9</v>
      </c>
      <c r="H206" s="52" t="n">
        <v>250</v>
      </c>
      <c r="I206" s="49" t="n">
        <v>0</v>
      </c>
      <c r="J206" s="52" t="n">
        <f aca="false">G206*H206*(1-I206)</f>
        <v>2250</v>
      </c>
      <c r="K206" s="49" t="n">
        <f aca="false">INDEX('🧮 Formulas'!$F$6:$F$8,MATCH(D206,'🧮 Formulas'!$E$6:$E$8,0))</f>
        <v>0.3</v>
      </c>
      <c r="L206" s="52" t="n">
        <f aca="false">J206*K206</f>
        <v>675</v>
      </c>
      <c r="M206" s="47" t="n">
        <f aca="false">MONTH(B206)</f>
        <v>9</v>
      </c>
      <c r="N206" s="47" t="str">
        <f aca="false">TEXT(B206,"mmm")</f>
        <v>Sep</v>
      </c>
    </row>
    <row r="207" customFormat="false" ht="15" hidden="false" customHeight="false" outlineLevel="0" collapsed="false">
      <c r="A207" s="47" t="s">
        <v>256</v>
      </c>
      <c r="B207" s="51" t="n">
        <v>45923</v>
      </c>
      <c r="C207" s="47" t="s">
        <v>67</v>
      </c>
      <c r="D207" s="47" t="s">
        <v>136</v>
      </c>
      <c r="E207" s="47" t="s">
        <v>184</v>
      </c>
      <c r="F207" s="47" t="s">
        <v>126</v>
      </c>
      <c r="G207" s="47" t="n">
        <v>3</v>
      </c>
      <c r="H207" s="52" t="n">
        <v>1800</v>
      </c>
      <c r="I207" s="49" t="n">
        <v>0.2</v>
      </c>
      <c r="J207" s="52" t="n">
        <f aca="false">G207*H207*(1-I207)</f>
        <v>4320</v>
      </c>
      <c r="K207" s="49" t="n">
        <f aca="false">INDEX('🧮 Formulas'!$F$6:$F$8,MATCH(D207,'🧮 Formulas'!$E$6:$E$8,0))</f>
        <v>0.22</v>
      </c>
      <c r="L207" s="52" t="n">
        <f aca="false">J207*K207</f>
        <v>950.4</v>
      </c>
      <c r="M207" s="47" t="n">
        <f aca="false">MONTH(B207)</f>
        <v>9</v>
      </c>
      <c r="N207" s="47" t="str">
        <f aca="false">TEXT(B207,"mmm")</f>
        <v>Sep</v>
      </c>
    </row>
    <row r="208" customFormat="false" ht="15" hidden="false" customHeight="false" outlineLevel="0" collapsed="false">
      <c r="A208" s="47" t="s">
        <v>459</v>
      </c>
      <c r="B208" s="51" t="n">
        <v>45923</v>
      </c>
      <c r="C208" s="47" t="s">
        <v>68</v>
      </c>
      <c r="D208" s="47" t="s">
        <v>124</v>
      </c>
      <c r="E208" s="47" t="s">
        <v>133</v>
      </c>
      <c r="F208" s="47" t="s">
        <v>141</v>
      </c>
      <c r="G208" s="47" t="n">
        <v>4</v>
      </c>
      <c r="H208" s="52" t="n">
        <v>22000</v>
      </c>
      <c r="I208" s="49" t="n">
        <v>0</v>
      </c>
      <c r="J208" s="52" t="n">
        <f aca="false">G208*H208*(1-I208)</f>
        <v>88000</v>
      </c>
      <c r="K208" s="49" t="n">
        <f aca="false">INDEX('🧮 Formulas'!$F$6:$F$8,MATCH(D208,'🧮 Formulas'!$E$6:$E$8,0))</f>
        <v>0.18</v>
      </c>
      <c r="L208" s="52" t="n">
        <f aca="false">J208*K208</f>
        <v>15840</v>
      </c>
      <c r="M208" s="47" t="n">
        <f aca="false">MONTH(B208)</f>
        <v>9</v>
      </c>
      <c r="N208" s="47" t="str">
        <f aca="false">TEXT(B208,"mmm")</f>
        <v>Sep</v>
      </c>
    </row>
    <row r="209" customFormat="false" ht="15" hidden="false" customHeight="false" outlineLevel="0" collapsed="false">
      <c r="A209" s="47" t="s">
        <v>393</v>
      </c>
      <c r="B209" s="51" t="n">
        <v>45925</v>
      </c>
      <c r="C209" s="47" t="s">
        <v>68</v>
      </c>
      <c r="D209" s="47" t="s">
        <v>128</v>
      </c>
      <c r="E209" s="47" t="s">
        <v>149</v>
      </c>
      <c r="F209" s="47" t="s">
        <v>134</v>
      </c>
      <c r="G209" s="47" t="n">
        <v>14</v>
      </c>
      <c r="H209" s="52" t="n">
        <v>450</v>
      </c>
      <c r="I209" s="49" t="n">
        <v>0.1</v>
      </c>
      <c r="J209" s="52" t="n">
        <f aca="false">G209*H209*(1-I209)</f>
        <v>5670</v>
      </c>
      <c r="K209" s="49" t="n">
        <f aca="false">INDEX('🧮 Formulas'!$F$6:$F$8,MATCH(D209,'🧮 Formulas'!$E$6:$E$8,0))</f>
        <v>0.3</v>
      </c>
      <c r="L209" s="52" t="n">
        <f aca="false">J209*K209</f>
        <v>1701</v>
      </c>
      <c r="M209" s="47" t="n">
        <f aca="false">MONTH(B209)</f>
        <v>9</v>
      </c>
      <c r="N209" s="47" t="str">
        <f aca="false">TEXT(B209,"mmm")</f>
        <v>Sep</v>
      </c>
    </row>
    <row r="210" customFormat="false" ht="15" hidden="false" customHeight="false" outlineLevel="0" collapsed="false">
      <c r="A210" s="47" t="s">
        <v>143</v>
      </c>
      <c r="B210" s="51" t="n">
        <v>45925</v>
      </c>
      <c r="C210" s="47" t="s">
        <v>66</v>
      </c>
      <c r="D210" s="47" t="s">
        <v>128</v>
      </c>
      <c r="E210" s="47" t="s">
        <v>144</v>
      </c>
      <c r="F210" s="47" t="s">
        <v>134</v>
      </c>
      <c r="G210" s="47" t="n">
        <v>10</v>
      </c>
      <c r="H210" s="52" t="n">
        <v>180</v>
      </c>
      <c r="I210" s="49" t="n">
        <v>0.05</v>
      </c>
      <c r="J210" s="52" t="n">
        <f aca="false">G210*H210*(1-I210)</f>
        <v>1710</v>
      </c>
      <c r="K210" s="49" t="n">
        <f aca="false">INDEX('🧮 Formulas'!$F$6:$F$8,MATCH(D210,'🧮 Formulas'!$E$6:$E$8,0))</f>
        <v>0.3</v>
      </c>
      <c r="L210" s="52" t="n">
        <f aca="false">J210*K210</f>
        <v>513</v>
      </c>
      <c r="M210" s="47" t="n">
        <f aca="false">MONTH(B210)</f>
        <v>9</v>
      </c>
      <c r="N210" s="47" t="str">
        <f aca="false">TEXT(B210,"mmm")</f>
        <v>Sep</v>
      </c>
    </row>
    <row r="211" customFormat="false" ht="15" hidden="false" customHeight="false" outlineLevel="0" collapsed="false">
      <c r="A211" s="47" t="s">
        <v>229</v>
      </c>
      <c r="B211" s="51" t="n">
        <v>45927</v>
      </c>
      <c r="C211" s="47" t="s">
        <v>65</v>
      </c>
      <c r="D211" s="47" t="s">
        <v>124</v>
      </c>
      <c r="E211" s="47" t="s">
        <v>125</v>
      </c>
      <c r="F211" s="47" t="s">
        <v>134</v>
      </c>
      <c r="G211" s="47" t="n">
        <v>1</v>
      </c>
      <c r="H211" s="52" t="n">
        <v>3500</v>
      </c>
      <c r="I211" s="49" t="n">
        <v>0.1</v>
      </c>
      <c r="J211" s="52" t="n">
        <f aca="false">G211*H211*(1-I211)</f>
        <v>3150</v>
      </c>
      <c r="K211" s="49" t="n">
        <f aca="false">INDEX('🧮 Formulas'!$F$6:$F$8,MATCH(D211,'🧮 Formulas'!$E$6:$E$8,0))</f>
        <v>0.18</v>
      </c>
      <c r="L211" s="52" t="n">
        <f aca="false">J211*K211</f>
        <v>567</v>
      </c>
      <c r="M211" s="47" t="n">
        <f aca="false">MONTH(B211)</f>
        <v>9</v>
      </c>
      <c r="N211" s="47" t="str">
        <f aca="false">TEXT(B211,"mmm")</f>
        <v>Sep</v>
      </c>
    </row>
    <row r="212" customFormat="false" ht="15" hidden="false" customHeight="false" outlineLevel="0" collapsed="false">
      <c r="A212" s="47" t="s">
        <v>313</v>
      </c>
      <c r="B212" s="51" t="n">
        <v>45927</v>
      </c>
      <c r="C212" s="47" t="s">
        <v>68</v>
      </c>
      <c r="D212" s="47" t="s">
        <v>124</v>
      </c>
      <c r="E212" s="47" t="s">
        <v>146</v>
      </c>
      <c r="F212" s="47" t="s">
        <v>134</v>
      </c>
      <c r="G212" s="47" t="n">
        <v>4</v>
      </c>
      <c r="H212" s="52" t="n">
        <v>14000</v>
      </c>
      <c r="I212" s="49" t="n">
        <v>0.15</v>
      </c>
      <c r="J212" s="52" t="n">
        <f aca="false">G212*H212*(1-I212)</f>
        <v>47600</v>
      </c>
      <c r="K212" s="49" t="n">
        <f aca="false">INDEX('🧮 Formulas'!$F$6:$F$8,MATCH(D212,'🧮 Formulas'!$E$6:$E$8,0))</f>
        <v>0.18</v>
      </c>
      <c r="L212" s="52" t="n">
        <f aca="false">J212*K212</f>
        <v>8568</v>
      </c>
      <c r="M212" s="47" t="n">
        <f aca="false">MONTH(B212)</f>
        <v>9</v>
      </c>
      <c r="N212" s="47" t="str">
        <f aca="false">TEXT(B212,"mmm")</f>
        <v>Sep</v>
      </c>
    </row>
    <row r="213" customFormat="false" ht="15" hidden="false" customHeight="false" outlineLevel="0" collapsed="false">
      <c r="A213" s="47" t="s">
        <v>453</v>
      </c>
      <c r="B213" s="51" t="n">
        <v>45930</v>
      </c>
      <c r="C213" s="47" t="s">
        <v>68</v>
      </c>
      <c r="D213" s="47" t="s">
        <v>128</v>
      </c>
      <c r="E213" s="47" t="s">
        <v>129</v>
      </c>
      <c r="F213" s="47" t="s">
        <v>141</v>
      </c>
      <c r="G213" s="47" t="n">
        <v>7</v>
      </c>
      <c r="H213" s="52" t="n">
        <v>120</v>
      </c>
      <c r="I213" s="49" t="n">
        <v>0.05</v>
      </c>
      <c r="J213" s="52" t="n">
        <f aca="false">G213*H213*(1-I213)</f>
        <v>798</v>
      </c>
      <c r="K213" s="49" t="n">
        <f aca="false">INDEX('🧮 Formulas'!$F$6:$F$8,MATCH(D213,'🧮 Formulas'!$E$6:$E$8,0))</f>
        <v>0.3</v>
      </c>
      <c r="L213" s="52" t="n">
        <f aca="false">J213*K213</f>
        <v>239.4</v>
      </c>
      <c r="M213" s="47" t="n">
        <f aca="false">MONTH(B213)</f>
        <v>9</v>
      </c>
      <c r="N213" s="47" t="str">
        <f aca="false">TEXT(B213,"mmm")</f>
        <v>Sep</v>
      </c>
    </row>
    <row r="214" customFormat="false" ht="15" hidden="false" customHeight="false" outlineLevel="0" collapsed="false">
      <c r="A214" s="47" t="s">
        <v>157</v>
      </c>
      <c r="B214" s="51" t="n">
        <v>45931</v>
      </c>
      <c r="C214" s="47" t="s">
        <v>66</v>
      </c>
      <c r="D214" s="47" t="s">
        <v>124</v>
      </c>
      <c r="E214" s="47" t="s">
        <v>131</v>
      </c>
      <c r="F214" s="47" t="s">
        <v>126</v>
      </c>
      <c r="G214" s="47" t="n">
        <v>2</v>
      </c>
      <c r="H214" s="52" t="n">
        <v>55000</v>
      </c>
      <c r="I214" s="49" t="n">
        <v>0.1</v>
      </c>
      <c r="J214" s="52" t="n">
        <f aca="false">G214*H214*(1-I214)</f>
        <v>99000</v>
      </c>
      <c r="K214" s="49" t="n">
        <f aca="false">INDEX('🧮 Formulas'!$F$6:$F$8,MATCH(D214,'🧮 Formulas'!$E$6:$E$8,0))</f>
        <v>0.18</v>
      </c>
      <c r="L214" s="52" t="n">
        <f aca="false">J214*K214</f>
        <v>17820</v>
      </c>
      <c r="M214" s="47" t="n">
        <f aca="false">MONTH(B214)</f>
        <v>10</v>
      </c>
      <c r="N214" s="47" t="str">
        <f aca="false">TEXT(B214,"mmm")</f>
        <v>Oct</v>
      </c>
    </row>
    <row r="215" customFormat="false" ht="15" hidden="false" customHeight="false" outlineLevel="0" collapsed="false">
      <c r="A215" s="47" t="s">
        <v>408</v>
      </c>
      <c r="B215" s="51" t="n">
        <v>45932</v>
      </c>
      <c r="C215" s="47" t="s">
        <v>65</v>
      </c>
      <c r="D215" s="47" t="s">
        <v>124</v>
      </c>
      <c r="E215" s="47" t="s">
        <v>146</v>
      </c>
      <c r="F215" s="47" t="s">
        <v>126</v>
      </c>
      <c r="G215" s="47" t="n">
        <v>3</v>
      </c>
      <c r="H215" s="52" t="n">
        <v>14000</v>
      </c>
      <c r="I215" s="49" t="n">
        <v>0.1</v>
      </c>
      <c r="J215" s="52" t="n">
        <f aca="false">G215*H215*(1-I215)</f>
        <v>37800</v>
      </c>
      <c r="K215" s="49" t="n">
        <f aca="false">INDEX('🧮 Formulas'!$F$6:$F$8,MATCH(D215,'🧮 Formulas'!$E$6:$E$8,0))</f>
        <v>0.18</v>
      </c>
      <c r="L215" s="52" t="n">
        <f aca="false">J215*K215</f>
        <v>6804</v>
      </c>
      <c r="M215" s="47" t="n">
        <f aca="false">MONTH(B215)</f>
        <v>10</v>
      </c>
      <c r="N215" s="47" t="str">
        <f aca="false">TEXT(B215,"mmm")</f>
        <v>Oct</v>
      </c>
    </row>
    <row r="216" customFormat="false" ht="15" hidden="false" customHeight="false" outlineLevel="0" collapsed="false">
      <c r="A216" s="47" t="s">
        <v>147</v>
      </c>
      <c r="B216" s="51" t="n">
        <v>45933</v>
      </c>
      <c r="C216" s="47" t="s">
        <v>66</v>
      </c>
      <c r="D216" s="47" t="s">
        <v>128</v>
      </c>
      <c r="E216" s="47" t="s">
        <v>129</v>
      </c>
      <c r="F216" s="47" t="s">
        <v>141</v>
      </c>
      <c r="G216" s="47" t="n">
        <v>3</v>
      </c>
      <c r="H216" s="52" t="n">
        <v>120</v>
      </c>
      <c r="I216" s="49" t="n">
        <v>0.05</v>
      </c>
      <c r="J216" s="52" t="n">
        <f aca="false">G216*H216*(1-I216)</f>
        <v>342</v>
      </c>
      <c r="K216" s="49" t="n">
        <f aca="false">INDEX('🧮 Formulas'!$F$6:$F$8,MATCH(D216,'🧮 Formulas'!$E$6:$E$8,0))</f>
        <v>0.3</v>
      </c>
      <c r="L216" s="52" t="n">
        <f aca="false">J216*K216</f>
        <v>102.6</v>
      </c>
      <c r="M216" s="47" t="n">
        <f aca="false">MONTH(B216)</f>
        <v>10</v>
      </c>
      <c r="N216" s="47" t="str">
        <f aca="false">TEXT(B216,"mmm")</f>
        <v>Oct</v>
      </c>
    </row>
    <row r="217" customFormat="false" ht="15" hidden="false" customHeight="false" outlineLevel="0" collapsed="false">
      <c r="A217" s="47" t="s">
        <v>328</v>
      </c>
      <c r="B217" s="51" t="n">
        <v>45933</v>
      </c>
      <c r="C217" s="47" t="s">
        <v>68</v>
      </c>
      <c r="D217" s="47" t="s">
        <v>136</v>
      </c>
      <c r="E217" s="47" t="s">
        <v>139</v>
      </c>
      <c r="F217" s="47" t="s">
        <v>134</v>
      </c>
      <c r="G217" s="47" t="n">
        <v>5</v>
      </c>
      <c r="H217" s="52" t="n">
        <v>6500</v>
      </c>
      <c r="I217" s="49" t="n">
        <v>0.1</v>
      </c>
      <c r="J217" s="52" t="n">
        <f aca="false">G217*H217*(1-I217)</f>
        <v>29250</v>
      </c>
      <c r="K217" s="49" t="n">
        <f aca="false">INDEX('🧮 Formulas'!$F$6:$F$8,MATCH(D217,'🧮 Formulas'!$E$6:$E$8,0))</f>
        <v>0.22</v>
      </c>
      <c r="L217" s="52" t="n">
        <f aca="false">J217*K217</f>
        <v>6435</v>
      </c>
      <c r="M217" s="47" t="n">
        <f aca="false">MONTH(B217)</f>
        <v>10</v>
      </c>
      <c r="N217" s="47" t="str">
        <f aca="false">TEXT(B217,"mmm")</f>
        <v>Oct</v>
      </c>
    </row>
    <row r="218" customFormat="false" ht="15" hidden="false" customHeight="false" outlineLevel="0" collapsed="false">
      <c r="A218" s="47" t="s">
        <v>205</v>
      </c>
      <c r="B218" s="51" t="n">
        <v>45934</v>
      </c>
      <c r="C218" s="47" t="s">
        <v>66</v>
      </c>
      <c r="D218" s="47" t="s">
        <v>128</v>
      </c>
      <c r="E218" s="47" t="s">
        <v>144</v>
      </c>
      <c r="F218" s="47" t="s">
        <v>141</v>
      </c>
      <c r="G218" s="47" t="n">
        <v>5</v>
      </c>
      <c r="H218" s="52" t="n">
        <v>180</v>
      </c>
      <c r="I218" s="49" t="n">
        <v>0.05</v>
      </c>
      <c r="J218" s="52" t="n">
        <f aca="false">G218*H218*(1-I218)</f>
        <v>855</v>
      </c>
      <c r="K218" s="49" t="n">
        <f aca="false">INDEX('🧮 Formulas'!$F$6:$F$8,MATCH(D218,'🧮 Formulas'!$E$6:$E$8,0))</f>
        <v>0.3</v>
      </c>
      <c r="L218" s="52" t="n">
        <f aca="false">J218*K218</f>
        <v>256.5</v>
      </c>
      <c r="M218" s="47" t="n">
        <f aca="false">MONTH(B218)</f>
        <v>10</v>
      </c>
      <c r="N218" s="47" t="str">
        <f aca="false">TEXT(B218,"mmm")</f>
        <v>Oct</v>
      </c>
    </row>
    <row r="219" customFormat="false" ht="15" hidden="false" customHeight="false" outlineLevel="0" collapsed="false">
      <c r="A219" s="47" t="s">
        <v>345</v>
      </c>
      <c r="B219" s="51" t="n">
        <v>45934</v>
      </c>
      <c r="C219" s="47" t="s">
        <v>65</v>
      </c>
      <c r="D219" s="47" t="s">
        <v>128</v>
      </c>
      <c r="E219" s="47" t="s">
        <v>144</v>
      </c>
      <c r="F219" s="47" t="s">
        <v>134</v>
      </c>
      <c r="G219" s="47" t="n">
        <v>2</v>
      </c>
      <c r="H219" s="52" t="n">
        <v>180</v>
      </c>
      <c r="I219" s="49" t="n">
        <v>0</v>
      </c>
      <c r="J219" s="52" t="n">
        <f aca="false">G219*H219*(1-I219)</f>
        <v>360</v>
      </c>
      <c r="K219" s="49" t="n">
        <f aca="false">INDEX('🧮 Formulas'!$F$6:$F$8,MATCH(D219,'🧮 Formulas'!$E$6:$E$8,0))</f>
        <v>0.3</v>
      </c>
      <c r="L219" s="52" t="n">
        <f aca="false">J219*K219</f>
        <v>108</v>
      </c>
      <c r="M219" s="47" t="n">
        <f aca="false">MONTH(B219)</f>
        <v>10</v>
      </c>
      <c r="N219" s="47" t="str">
        <f aca="false">TEXT(B219,"mmm")</f>
        <v>Oct</v>
      </c>
    </row>
    <row r="220" customFormat="false" ht="15" hidden="false" customHeight="false" outlineLevel="0" collapsed="false">
      <c r="A220" s="47" t="s">
        <v>209</v>
      </c>
      <c r="B220" s="51" t="n">
        <v>45934</v>
      </c>
      <c r="C220" s="47" t="s">
        <v>68</v>
      </c>
      <c r="D220" s="47" t="s">
        <v>128</v>
      </c>
      <c r="E220" s="47" t="s">
        <v>155</v>
      </c>
      <c r="F220" s="47" t="s">
        <v>134</v>
      </c>
      <c r="G220" s="47" t="n">
        <v>10</v>
      </c>
      <c r="H220" s="52" t="n">
        <v>250</v>
      </c>
      <c r="I220" s="49" t="n">
        <v>0</v>
      </c>
      <c r="J220" s="52" t="n">
        <f aca="false">G220*H220*(1-I220)</f>
        <v>2500</v>
      </c>
      <c r="K220" s="49" t="n">
        <f aca="false">INDEX('🧮 Formulas'!$F$6:$F$8,MATCH(D220,'🧮 Formulas'!$E$6:$E$8,0))</f>
        <v>0.3</v>
      </c>
      <c r="L220" s="52" t="n">
        <f aca="false">J220*K220</f>
        <v>750</v>
      </c>
      <c r="M220" s="47" t="n">
        <f aca="false">MONTH(B220)</f>
        <v>10</v>
      </c>
      <c r="N220" s="47" t="str">
        <f aca="false">TEXT(B220,"mmm")</f>
        <v>Oct</v>
      </c>
    </row>
    <row r="221" customFormat="false" ht="15" hidden="false" customHeight="false" outlineLevel="0" collapsed="false">
      <c r="A221" s="47" t="s">
        <v>325</v>
      </c>
      <c r="B221" s="51" t="n">
        <v>45934</v>
      </c>
      <c r="C221" s="47" t="s">
        <v>67</v>
      </c>
      <c r="D221" s="47" t="s">
        <v>136</v>
      </c>
      <c r="E221" s="47" t="s">
        <v>137</v>
      </c>
      <c r="F221" s="47" t="s">
        <v>141</v>
      </c>
      <c r="G221" s="47" t="n">
        <v>2</v>
      </c>
      <c r="H221" s="52" t="n">
        <v>12000</v>
      </c>
      <c r="I221" s="49" t="n">
        <v>0.15</v>
      </c>
      <c r="J221" s="52" t="n">
        <f aca="false">G221*H221*(1-I221)</f>
        <v>20400</v>
      </c>
      <c r="K221" s="49" t="n">
        <f aca="false">INDEX('🧮 Formulas'!$F$6:$F$8,MATCH(D221,'🧮 Formulas'!$E$6:$E$8,0))</f>
        <v>0.22</v>
      </c>
      <c r="L221" s="52" t="n">
        <f aca="false">J221*K221</f>
        <v>4488</v>
      </c>
      <c r="M221" s="47" t="n">
        <f aca="false">MONTH(B221)</f>
        <v>10</v>
      </c>
      <c r="N221" s="47" t="str">
        <f aca="false">TEXT(B221,"mmm")</f>
        <v>Oct</v>
      </c>
    </row>
    <row r="222" customFormat="false" ht="15" hidden="false" customHeight="false" outlineLevel="0" collapsed="false">
      <c r="A222" s="47" t="s">
        <v>202</v>
      </c>
      <c r="B222" s="51" t="n">
        <v>45934</v>
      </c>
      <c r="C222" s="47" t="s">
        <v>67</v>
      </c>
      <c r="D222" s="47" t="s">
        <v>124</v>
      </c>
      <c r="E222" s="47" t="s">
        <v>133</v>
      </c>
      <c r="F222" s="47" t="s">
        <v>126</v>
      </c>
      <c r="G222" s="47" t="n">
        <v>2</v>
      </c>
      <c r="H222" s="52" t="n">
        <v>22000</v>
      </c>
      <c r="I222" s="49" t="n">
        <v>0</v>
      </c>
      <c r="J222" s="52" t="n">
        <f aca="false">G222*H222*(1-I222)</f>
        <v>44000</v>
      </c>
      <c r="K222" s="49" t="n">
        <f aca="false">INDEX('🧮 Formulas'!$F$6:$F$8,MATCH(D222,'🧮 Formulas'!$E$6:$E$8,0))</f>
        <v>0.18</v>
      </c>
      <c r="L222" s="52" t="n">
        <f aca="false">J222*K222</f>
        <v>7920</v>
      </c>
      <c r="M222" s="47" t="n">
        <f aca="false">MONTH(B222)</f>
        <v>10</v>
      </c>
      <c r="N222" s="47" t="str">
        <f aca="false">TEXT(B222,"mmm")</f>
        <v>Oct</v>
      </c>
    </row>
    <row r="223" customFormat="false" ht="15" hidden="false" customHeight="false" outlineLevel="0" collapsed="false">
      <c r="A223" s="47" t="s">
        <v>239</v>
      </c>
      <c r="B223" s="51" t="n">
        <v>45935</v>
      </c>
      <c r="C223" s="47" t="s">
        <v>68</v>
      </c>
      <c r="D223" s="47" t="s">
        <v>124</v>
      </c>
      <c r="E223" s="47" t="s">
        <v>146</v>
      </c>
      <c r="F223" s="47" t="s">
        <v>134</v>
      </c>
      <c r="G223" s="47" t="n">
        <v>3</v>
      </c>
      <c r="H223" s="52" t="n">
        <v>14000</v>
      </c>
      <c r="I223" s="49" t="n">
        <v>0</v>
      </c>
      <c r="J223" s="52" t="n">
        <f aca="false">G223*H223*(1-I223)</f>
        <v>42000</v>
      </c>
      <c r="K223" s="49" t="n">
        <f aca="false">INDEX('🧮 Formulas'!$F$6:$F$8,MATCH(D223,'🧮 Formulas'!$E$6:$E$8,0))</f>
        <v>0.18</v>
      </c>
      <c r="L223" s="52" t="n">
        <f aca="false">J223*K223</f>
        <v>7560</v>
      </c>
      <c r="M223" s="47" t="n">
        <f aca="false">MONTH(B223)</f>
        <v>10</v>
      </c>
      <c r="N223" s="47" t="str">
        <f aca="false">TEXT(B223,"mmm")</f>
        <v>Oct</v>
      </c>
    </row>
    <row r="224" customFormat="false" ht="15" hidden="false" customHeight="false" outlineLevel="0" collapsed="false">
      <c r="A224" s="47" t="s">
        <v>366</v>
      </c>
      <c r="B224" s="51" t="n">
        <v>45939</v>
      </c>
      <c r="C224" s="47" t="s">
        <v>65</v>
      </c>
      <c r="D224" s="47" t="s">
        <v>124</v>
      </c>
      <c r="E224" s="47" t="s">
        <v>131</v>
      </c>
      <c r="F224" s="47" t="s">
        <v>126</v>
      </c>
      <c r="G224" s="47" t="n">
        <v>4</v>
      </c>
      <c r="H224" s="52" t="n">
        <v>55000</v>
      </c>
      <c r="I224" s="49" t="n">
        <v>0.2</v>
      </c>
      <c r="J224" s="52" t="n">
        <f aca="false">G224*H224*(1-I224)</f>
        <v>176000</v>
      </c>
      <c r="K224" s="49" t="n">
        <f aca="false">INDEX('🧮 Formulas'!$F$6:$F$8,MATCH(D224,'🧮 Formulas'!$E$6:$E$8,0))</f>
        <v>0.18</v>
      </c>
      <c r="L224" s="52" t="n">
        <f aca="false">J224*K224</f>
        <v>31680</v>
      </c>
      <c r="M224" s="47" t="n">
        <f aca="false">MONTH(B224)</f>
        <v>10</v>
      </c>
      <c r="N224" s="47" t="str">
        <f aca="false">TEXT(B224,"mmm")</f>
        <v>Oct</v>
      </c>
    </row>
    <row r="225" customFormat="false" ht="15" hidden="false" customHeight="false" outlineLevel="0" collapsed="false">
      <c r="A225" s="47" t="s">
        <v>277</v>
      </c>
      <c r="B225" s="51" t="n">
        <v>45940</v>
      </c>
      <c r="C225" s="47" t="s">
        <v>67</v>
      </c>
      <c r="D225" s="47" t="s">
        <v>128</v>
      </c>
      <c r="E225" s="47" t="s">
        <v>144</v>
      </c>
      <c r="F225" s="47" t="s">
        <v>141</v>
      </c>
      <c r="G225" s="47" t="n">
        <v>3</v>
      </c>
      <c r="H225" s="52" t="n">
        <v>180</v>
      </c>
      <c r="I225" s="49" t="n">
        <v>0.15</v>
      </c>
      <c r="J225" s="52" t="n">
        <f aca="false">G225*H225*(1-I225)</f>
        <v>459</v>
      </c>
      <c r="K225" s="49" t="n">
        <f aca="false">INDEX('🧮 Formulas'!$F$6:$F$8,MATCH(D225,'🧮 Formulas'!$E$6:$E$8,0))</f>
        <v>0.3</v>
      </c>
      <c r="L225" s="52" t="n">
        <f aca="false">J225*K225</f>
        <v>137.7</v>
      </c>
      <c r="M225" s="47" t="n">
        <f aca="false">MONTH(B225)</f>
        <v>10</v>
      </c>
      <c r="N225" s="47" t="str">
        <f aca="false">TEXT(B225,"mmm")</f>
        <v>Oct</v>
      </c>
    </row>
    <row r="226" customFormat="false" ht="15" hidden="false" customHeight="false" outlineLevel="0" collapsed="false">
      <c r="A226" s="47" t="s">
        <v>443</v>
      </c>
      <c r="B226" s="51" t="n">
        <v>45940</v>
      </c>
      <c r="C226" s="47" t="s">
        <v>66</v>
      </c>
      <c r="D226" s="47" t="s">
        <v>128</v>
      </c>
      <c r="E226" s="47" t="s">
        <v>149</v>
      </c>
      <c r="F226" s="47" t="s">
        <v>134</v>
      </c>
      <c r="G226" s="47" t="n">
        <v>9</v>
      </c>
      <c r="H226" s="52" t="n">
        <v>450</v>
      </c>
      <c r="I226" s="49" t="n">
        <v>0</v>
      </c>
      <c r="J226" s="52" t="n">
        <f aca="false">G226*H226*(1-I226)</f>
        <v>4050</v>
      </c>
      <c r="K226" s="49" t="n">
        <f aca="false">INDEX('🧮 Formulas'!$F$6:$F$8,MATCH(D226,'🧮 Formulas'!$E$6:$E$8,0))</f>
        <v>0.3</v>
      </c>
      <c r="L226" s="52" t="n">
        <f aca="false">J226*K226</f>
        <v>1215</v>
      </c>
      <c r="M226" s="47" t="n">
        <f aca="false">MONTH(B226)</f>
        <v>10</v>
      </c>
      <c r="N226" s="47" t="str">
        <f aca="false">TEXT(B226,"mmm")</f>
        <v>Oct</v>
      </c>
    </row>
    <row r="227" customFormat="false" ht="15" hidden="false" customHeight="false" outlineLevel="0" collapsed="false">
      <c r="A227" s="47" t="s">
        <v>411</v>
      </c>
      <c r="B227" s="51" t="n">
        <v>45940</v>
      </c>
      <c r="C227" s="47" t="s">
        <v>66</v>
      </c>
      <c r="D227" s="47" t="s">
        <v>136</v>
      </c>
      <c r="E227" s="47" t="s">
        <v>139</v>
      </c>
      <c r="F227" s="47" t="s">
        <v>141</v>
      </c>
      <c r="G227" s="47" t="n">
        <v>4</v>
      </c>
      <c r="H227" s="52" t="n">
        <v>6500</v>
      </c>
      <c r="I227" s="49" t="n">
        <v>0</v>
      </c>
      <c r="J227" s="52" t="n">
        <f aca="false">G227*H227*(1-I227)</f>
        <v>26000</v>
      </c>
      <c r="K227" s="49" t="n">
        <f aca="false">INDEX('🧮 Formulas'!$F$6:$F$8,MATCH(D227,'🧮 Formulas'!$E$6:$E$8,0))</f>
        <v>0.22</v>
      </c>
      <c r="L227" s="52" t="n">
        <f aca="false">J227*K227</f>
        <v>5720</v>
      </c>
      <c r="M227" s="47" t="n">
        <f aca="false">MONTH(B227)</f>
        <v>10</v>
      </c>
      <c r="N227" s="47" t="str">
        <f aca="false">TEXT(B227,"mmm")</f>
        <v>Oct</v>
      </c>
    </row>
    <row r="228" customFormat="false" ht="15" hidden="false" customHeight="false" outlineLevel="0" collapsed="false">
      <c r="A228" s="47" t="s">
        <v>335</v>
      </c>
      <c r="B228" s="51" t="n">
        <v>45941</v>
      </c>
      <c r="C228" s="47" t="s">
        <v>67</v>
      </c>
      <c r="D228" s="47" t="s">
        <v>124</v>
      </c>
      <c r="E228" s="47" t="s">
        <v>125</v>
      </c>
      <c r="F228" s="47" t="s">
        <v>134</v>
      </c>
      <c r="G228" s="47" t="n">
        <v>4</v>
      </c>
      <c r="H228" s="52" t="n">
        <v>3500</v>
      </c>
      <c r="I228" s="49" t="n">
        <v>0.2</v>
      </c>
      <c r="J228" s="52" t="n">
        <f aca="false">G228*H228*(1-I228)</f>
        <v>11200</v>
      </c>
      <c r="K228" s="49" t="n">
        <f aca="false">INDEX('🧮 Formulas'!$F$6:$F$8,MATCH(D228,'🧮 Formulas'!$E$6:$E$8,0))</f>
        <v>0.18</v>
      </c>
      <c r="L228" s="52" t="n">
        <f aca="false">J228*K228</f>
        <v>2016</v>
      </c>
      <c r="M228" s="47" t="n">
        <f aca="false">MONTH(B228)</f>
        <v>10</v>
      </c>
      <c r="N228" s="47" t="str">
        <f aca="false">TEXT(B228,"mmm")</f>
        <v>Oct</v>
      </c>
    </row>
    <row r="229" customFormat="false" ht="15" hidden="false" customHeight="false" outlineLevel="0" collapsed="false">
      <c r="A229" s="47" t="s">
        <v>198</v>
      </c>
      <c r="B229" s="51" t="n">
        <v>45941</v>
      </c>
      <c r="C229" s="47" t="s">
        <v>67</v>
      </c>
      <c r="D229" s="47" t="s">
        <v>124</v>
      </c>
      <c r="E229" s="47" t="s">
        <v>131</v>
      </c>
      <c r="F229" s="47" t="s">
        <v>141</v>
      </c>
      <c r="G229" s="47" t="n">
        <v>1</v>
      </c>
      <c r="H229" s="52" t="n">
        <v>55000</v>
      </c>
      <c r="I229" s="49" t="n">
        <v>0</v>
      </c>
      <c r="J229" s="52" t="n">
        <f aca="false">G229*H229*(1-I229)</f>
        <v>55000</v>
      </c>
      <c r="K229" s="49" t="n">
        <f aca="false">INDEX('🧮 Formulas'!$F$6:$F$8,MATCH(D229,'🧮 Formulas'!$E$6:$E$8,0))</f>
        <v>0.18</v>
      </c>
      <c r="L229" s="52" t="n">
        <f aca="false">J229*K229</f>
        <v>9900</v>
      </c>
      <c r="M229" s="47" t="n">
        <f aca="false">MONTH(B229)</f>
        <v>10</v>
      </c>
      <c r="N229" s="47" t="str">
        <f aca="false">TEXT(B229,"mmm")</f>
        <v>Oct</v>
      </c>
    </row>
    <row r="230" customFormat="false" ht="15" hidden="false" customHeight="false" outlineLevel="0" collapsed="false">
      <c r="A230" s="47" t="s">
        <v>220</v>
      </c>
      <c r="B230" s="51" t="n">
        <v>45941</v>
      </c>
      <c r="C230" s="47" t="s">
        <v>67</v>
      </c>
      <c r="D230" s="47" t="s">
        <v>124</v>
      </c>
      <c r="E230" s="47" t="s">
        <v>133</v>
      </c>
      <c r="F230" s="47" t="s">
        <v>126</v>
      </c>
      <c r="G230" s="47" t="n">
        <v>3</v>
      </c>
      <c r="H230" s="52" t="n">
        <v>22000</v>
      </c>
      <c r="I230" s="49" t="n">
        <v>0.1</v>
      </c>
      <c r="J230" s="52" t="n">
        <f aca="false">G230*H230*(1-I230)</f>
        <v>59400</v>
      </c>
      <c r="K230" s="49" t="n">
        <f aca="false">INDEX('🧮 Formulas'!$F$6:$F$8,MATCH(D230,'🧮 Formulas'!$E$6:$E$8,0))</f>
        <v>0.18</v>
      </c>
      <c r="L230" s="52" t="n">
        <f aca="false">J230*K230</f>
        <v>10692</v>
      </c>
      <c r="M230" s="47" t="n">
        <f aca="false">MONTH(B230)</f>
        <v>10</v>
      </c>
      <c r="N230" s="47" t="str">
        <f aca="false">TEXT(B230,"mmm")</f>
        <v>Oct</v>
      </c>
    </row>
    <row r="231" customFormat="false" ht="15" hidden="false" customHeight="false" outlineLevel="0" collapsed="false">
      <c r="A231" s="47" t="s">
        <v>332</v>
      </c>
      <c r="B231" s="51" t="n">
        <v>45943</v>
      </c>
      <c r="C231" s="47" t="s">
        <v>67</v>
      </c>
      <c r="D231" s="47" t="s">
        <v>128</v>
      </c>
      <c r="E231" s="47" t="s">
        <v>144</v>
      </c>
      <c r="F231" s="47" t="s">
        <v>126</v>
      </c>
      <c r="G231" s="47" t="n">
        <v>15</v>
      </c>
      <c r="H231" s="52" t="n">
        <v>180</v>
      </c>
      <c r="I231" s="49" t="n">
        <v>0.1</v>
      </c>
      <c r="J231" s="52" t="n">
        <f aca="false">G231*H231*(1-I231)</f>
        <v>2430</v>
      </c>
      <c r="K231" s="49" t="n">
        <f aca="false">INDEX('🧮 Formulas'!$F$6:$F$8,MATCH(D231,'🧮 Formulas'!$E$6:$E$8,0))</f>
        <v>0.3</v>
      </c>
      <c r="L231" s="52" t="n">
        <f aca="false">J231*K231</f>
        <v>729</v>
      </c>
      <c r="M231" s="47" t="n">
        <f aca="false">MONTH(B231)</f>
        <v>10</v>
      </c>
      <c r="N231" s="47" t="str">
        <f aca="false">TEXT(B231,"mmm")</f>
        <v>Oct</v>
      </c>
    </row>
    <row r="232" customFormat="false" ht="15" hidden="false" customHeight="false" outlineLevel="0" collapsed="false">
      <c r="A232" s="47" t="s">
        <v>294</v>
      </c>
      <c r="B232" s="51" t="n">
        <v>45943</v>
      </c>
      <c r="C232" s="47" t="s">
        <v>68</v>
      </c>
      <c r="D232" s="47" t="s">
        <v>136</v>
      </c>
      <c r="E232" s="47" t="s">
        <v>139</v>
      </c>
      <c r="F232" s="47" t="s">
        <v>134</v>
      </c>
      <c r="G232" s="47" t="n">
        <v>1</v>
      </c>
      <c r="H232" s="52" t="n">
        <v>6500</v>
      </c>
      <c r="I232" s="49" t="n">
        <v>0.05</v>
      </c>
      <c r="J232" s="52" t="n">
        <f aca="false">G232*H232*(1-I232)</f>
        <v>6175</v>
      </c>
      <c r="K232" s="49" t="n">
        <f aca="false">INDEX('🧮 Formulas'!$F$6:$F$8,MATCH(D232,'🧮 Formulas'!$E$6:$E$8,0))</f>
        <v>0.22</v>
      </c>
      <c r="L232" s="52" t="n">
        <f aca="false">J232*K232</f>
        <v>1358.5</v>
      </c>
      <c r="M232" s="47" t="n">
        <f aca="false">MONTH(B232)</f>
        <v>10</v>
      </c>
      <c r="N232" s="47" t="str">
        <f aca="false">TEXT(B232,"mmm")</f>
        <v>Oct</v>
      </c>
    </row>
    <row r="233" customFormat="false" ht="15" hidden="false" customHeight="false" outlineLevel="0" collapsed="false">
      <c r="A233" s="47" t="s">
        <v>228</v>
      </c>
      <c r="B233" s="51" t="n">
        <v>45944</v>
      </c>
      <c r="C233" s="47" t="s">
        <v>68</v>
      </c>
      <c r="D233" s="47" t="s">
        <v>128</v>
      </c>
      <c r="E233" s="47" t="s">
        <v>155</v>
      </c>
      <c r="F233" s="47" t="s">
        <v>141</v>
      </c>
      <c r="G233" s="47" t="n">
        <v>14</v>
      </c>
      <c r="H233" s="52" t="n">
        <v>250</v>
      </c>
      <c r="I233" s="49" t="n">
        <v>0.2</v>
      </c>
      <c r="J233" s="52" t="n">
        <f aca="false">G233*H233*(1-I233)</f>
        <v>2800</v>
      </c>
      <c r="K233" s="49" t="n">
        <f aca="false">INDEX('🧮 Formulas'!$F$6:$F$8,MATCH(D233,'🧮 Formulas'!$E$6:$E$8,0))</f>
        <v>0.3</v>
      </c>
      <c r="L233" s="52" t="n">
        <f aca="false">J233*K233</f>
        <v>840</v>
      </c>
      <c r="M233" s="47" t="n">
        <f aca="false">MONTH(B233)</f>
        <v>10</v>
      </c>
      <c r="N233" s="47" t="str">
        <f aca="false">TEXT(B233,"mmm")</f>
        <v>Oct</v>
      </c>
    </row>
    <row r="234" customFormat="false" ht="15" hidden="false" customHeight="false" outlineLevel="0" collapsed="false">
      <c r="A234" s="47" t="s">
        <v>237</v>
      </c>
      <c r="B234" s="51" t="n">
        <v>45946</v>
      </c>
      <c r="C234" s="47" t="s">
        <v>65</v>
      </c>
      <c r="D234" s="47" t="s">
        <v>136</v>
      </c>
      <c r="E234" s="47" t="s">
        <v>184</v>
      </c>
      <c r="F234" s="47" t="s">
        <v>126</v>
      </c>
      <c r="G234" s="47" t="n">
        <v>5</v>
      </c>
      <c r="H234" s="52" t="n">
        <v>1800</v>
      </c>
      <c r="I234" s="49" t="n">
        <v>0.2</v>
      </c>
      <c r="J234" s="52" t="n">
        <f aca="false">G234*H234*(1-I234)</f>
        <v>7200</v>
      </c>
      <c r="K234" s="49" t="n">
        <f aca="false">INDEX('🧮 Formulas'!$F$6:$F$8,MATCH(D234,'🧮 Formulas'!$E$6:$E$8,0))</f>
        <v>0.22</v>
      </c>
      <c r="L234" s="52" t="n">
        <f aca="false">J234*K234</f>
        <v>1584</v>
      </c>
      <c r="M234" s="47" t="n">
        <f aca="false">MONTH(B234)</f>
        <v>10</v>
      </c>
      <c r="N234" s="47" t="str">
        <f aca="false">TEXT(B234,"mmm")</f>
        <v>Oct</v>
      </c>
    </row>
    <row r="235" customFormat="false" ht="15" hidden="false" customHeight="false" outlineLevel="0" collapsed="false">
      <c r="A235" s="47" t="s">
        <v>179</v>
      </c>
      <c r="B235" s="51" t="n">
        <v>45946</v>
      </c>
      <c r="C235" s="47" t="s">
        <v>68</v>
      </c>
      <c r="D235" s="47" t="s">
        <v>124</v>
      </c>
      <c r="E235" s="47" t="s">
        <v>146</v>
      </c>
      <c r="F235" s="47" t="s">
        <v>141</v>
      </c>
      <c r="G235" s="47" t="n">
        <v>4</v>
      </c>
      <c r="H235" s="52" t="n">
        <v>14000</v>
      </c>
      <c r="I235" s="49" t="n">
        <v>0.15</v>
      </c>
      <c r="J235" s="52" t="n">
        <f aca="false">G235*H235*(1-I235)</f>
        <v>47600</v>
      </c>
      <c r="K235" s="49" t="n">
        <f aca="false">INDEX('🧮 Formulas'!$F$6:$F$8,MATCH(D235,'🧮 Formulas'!$E$6:$E$8,0))</f>
        <v>0.18</v>
      </c>
      <c r="L235" s="52" t="n">
        <f aca="false">J235*K235</f>
        <v>8568</v>
      </c>
      <c r="M235" s="47" t="n">
        <f aca="false">MONTH(B235)</f>
        <v>10</v>
      </c>
      <c r="N235" s="47" t="str">
        <f aca="false">TEXT(B235,"mmm")</f>
        <v>Oct</v>
      </c>
    </row>
    <row r="236" customFormat="false" ht="15" hidden="false" customHeight="false" outlineLevel="0" collapsed="false">
      <c r="A236" s="47" t="s">
        <v>247</v>
      </c>
      <c r="B236" s="51" t="n">
        <v>45949</v>
      </c>
      <c r="C236" s="47" t="s">
        <v>67</v>
      </c>
      <c r="D236" s="47" t="s">
        <v>128</v>
      </c>
      <c r="E236" s="47" t="s">
        <v>149</v>
      </c>
      <c r="F236" s="47" t="s">
        <v>134</v>
      </c>
      <c r="G236" s="47" t="n">
        <v>11</v>
      </c>
      <c r="H236" s="52" t="n">
        <v>450</v>
      </c>
      <c r="I236" s="49" t="n">
        <v>0.15</v>
      </c>
      <c r="J236" s="52" t="n">
        <f aca="false">G236*H236*(1-I236)</f>
        <v>4207.5</v>
      </c>
      <c r="K236" s="49" t="n">
        <f aca="false">INDEX('🧮 Formulas'!$F$6:$F$8,MATCH(D236,'🧮 Formulas'!$E$6:$E$8,0))</f>
        <v>0.3</v>
      </c>
      <c r="L236" s="52" t="n">
        <f aca="false">J236*K236</f>
        <v>1262.25</v>
      </c>
      <c r="M236" s="47" t="n">
        <f aca="false">MONTH(B236)</f>
        <v>10</v>
      </c>
      <c r="N236" s="47" t="str">
        <f aca="false">TEXT(B236,"mmm")</f>
        <v>Oct</v>
      </c>
    </row>
    <row r="237" customFormat="false" ht="15" hidden="false" customHeight="false" outlineLevel="0" collapsed="false">
      <c r="A237" s="47" t="s">
        <v>196</v>
      </c>
      <c r="B237" s="51" t="n">
        <v>45949</v>
      </c>
      <c r="C237" s="47" t="s">
        <v>65</v>
      </c>
      <c r="D237" s="47" t="s">
        <v>124</v>
      </c>
      <c r="E237" s="47" t="s">
        <v>146</v>
      </c>
      <c r="F237" s="47" t="s">
        <v>141</v>
      </c>
      <c r="G237" s="47" t="n">
        <v>3</v>
      </c>
      <c r="H237" s="52" t="n">
        <v>14000</v>
      </c>
      <c r="I237" s="49" t="n">
        <v>0.2</v>
      </c>
      <c r="J237" s="52" t="n">
        <f aca="false">G237*H237*(1-I237)</f>
        <v>33600</v>
      </c>
      <c r="K237" s="49" t="n">
        <f aca="false">INDEX('🧮 Formulas'!$F$6:$F$8,MATCH(D237,'🧮 Formulas'!$E$6:$E$8,0))</f>
        <v>0.18</v>
      </c>
      <c r="L237" s="52" t="n">
        <f aca="false">J237*K237</f>
        <v>6048</v>
      </c>
      <c r="M237" s="47" t="n">
        <f aca="false">MONTH(B237)</f>
        <v>10</v>
      </c>
      <c r="N237" s="47" t="str">
        <f aca="false">TEXT(B237,"mmm")</f>
        <v>Oct</v>
      </c>
    </row>
    <row r="238" customFormat="false" ht="15" hidden="false" customHeight="false" outlineLevel="0" collapsed="false">
      <c r="A238" s="47" t="s">
        <v>390</v>
      </c>
      <c r="B238" s="51" t="n">
        <v>45952</v>
      </c>
      <c r="C238" s="47" t="s">
        <v>68</v>
      </c>
      <c r="D238" s="47" t="s">
        <v>124</v>
      </c>
      <c r="E238" s="47" t="s">
        <v>131</v>
      </c>
      <c r="F238" s="47" t="s">
        <v>134</v>
      </c>
      <c r="G238" s="47" t="n">
        <v>3</v>
      </c>
      <c r="H238" s="52" t="n">
        <v>55000</v>
      </c>
      <c r="I238" s="49" t="n">
        <v>0.2</v>
      </c>
      <c r="J238" s="52" t="n">
        <f aca="false">G238*H238*(1-I238)</f>
        <v>132000</v>
      </c>
      <c r="K238" s="49" t="n">
        <f aca="false">INDEX('🧮 Formulas'!$F$6:$F$8,MATCH(D238,'🧮 Formulas'!$E$6:$E$8,0))</f>
        <v>0.18</v>
      </c>
      <c r="L238" s="52" t="n">
        <f aca="false">J238*K238</f>
        <v>23760</v>
      </c>
      <c r="M238" s="47" t="n">
        <f aca="false">MONTH(B238)</f>
        <v>10</v>
      </c>
      <c r="N238" s="47" t="str">
        <f aca="false">TEXT(B238,"mmm")</f>
        <v>Oct</v>
      </c>
    </row>
    <row r="239" customFormat="false" ht="15" hidden="false" customHeight="false" outlineLevel="0" collapsed="false">
      <c r="A239" s="47" t="s">
        <v>159</v>
      </c>
      <c r="B239" s="51" t="n">
        <v>45952</v>
      </c>
      <c r="C239" s="47" t="s">
        <v>68</v>
      </c>
      <c r="D239" s="47" t="s">
        <v>136</v>
      </c>
      <c r="E239" s="47" t="s">
        <v>160</v>
      </c>
      <c r="F239" s="47" t="s">
        <v>141</v>
      </c>
      <c r="G239" s="47" t="n">
        <v>3</v>
      </c>
      <c r="H239" s="52" t="n">
        <v>8500</v>
      </c>
      <c r="I239" s="49" t="n">
        <v>0.1</v>
      </c>
      <c r="J239" s="52" t="n">
        <f aca="false">G239*H239*(1-I239)</f>
        <v>22950</v>
      </c>
      <c r="K239" s="49" t="n">
        <f aca="false">INDEX('🧮 Formulas'!$F$6:$F$8,MATCH(D239,'🧮 Formulas'!$E$6:$E$8,0))</f>
        <v>0.22</v>
      </c>
      <c r="L239" s="52" t="n">
        <f aca="false">J239*K239</f>
        <v>5049</v>
      </c>
      <c r="M239" s="47" t="n">
        <f aca="false">MONTH(B239)</f>
        <v>10</v>
      </c>
      <c r="N239" s="47" t="str">
        <f aca="false">TEXT(B239,"mmm")</f>
        <v>Oct</v>
      </c>
    </row>
    <row r="240" customFormat="false" ht="15" hidden="false" customHeight="false" outlineLevel="0" collapsed="false">
      <c r="A240" s="47" t="s">
        <v>371</v>
      </c>
      <c r="B240" s="51" t="n">
        <v>45953</v>
      </c>
      <c r="C240" s="47" t="s">
        <v>65</v>
      </c>
      <c r="D240" s="47" t="s">
        <v>124</v>
      </c>
      <c r="E240" s="47" t="s">
        <v>131</v>
      </c>
      <c r="F240" s="47" t="s">
        <v>126</v>
      </c>
      <c r="G240" s="47" t="n">
        <v>3</v>
      </c>
      <c r="H240" s="52" t="n">
        <v>55000</v>
      </c>
      <c r="I240" s="49" t="n">
        <v>0.1</v>
      </c>
      <c r="J240" s="52" t="n">
        <f aca="false">G240*H240*(1-I240)</f>
        <v>148500</v>
      </c>
      <c r="K240" s="49" t="n">
        <f aca="false">INDEX('🧮 Formulas'!$F$6:$F$8,MATCH(D240,'🧮 Formulas'!$E$6:$E$8,0))</f>
        <v>0.18</v>
      </c>
      <c r="L240" s="52" t="n">
        <f aca="false">J240*K240</f>
        <v>26730</v>
      </c>
      <c r="M240" s="47" t="n">
        <f aca="false">MONTH(B240)</f>
        <v>10</v>
      </c>
      <c r="N240" s="47" t="str">
        <f aca="false">TEXT(B240,"mmm")</f>
        <v>Oct</v>
      </c>
    </row>
    <row r="241" customFormat="false" ht="15" hidden="false" customHeight="false" outlineLevel="0" collapsed="false">
      <c r="A241" s="47" t="s">
        <v>434</v>
      </c>
      <c r="B241" s="51" t="n">
        <v>45955</v>
      </c>
      <c r="C241" s="47" t="s">
        <v>67</v>
      </c>
      <c r="D241" s="47" t="s">
        <v>128</v>
      </c>
      <c r="E241" s="47" t="s">
        <v>155</v>
      </c>
      <c r="F241" s="47" t="s">
        <v>126</v>
      </c>
      <c r="G241" s="47" t="n">
        <v>4</v>
      </c>
      <c r="H241" s="52" t="n">
        <v>250</v>
      </c>
      <c r="I241" s="49" t="n">
        <v>0</v>
      </c>
      <c r="J241" s="52" t="n">
        <f aca="false">G241*H241*(1-I241)</f>
        <v>1000</v>
      </c>
      <c r="K241" s="49" t="n">
        <f aca="false">INDEX('🧮 Formulas'!$F$6:$F$8,MATCH(D241,'🧮 Formulas'!$E$6:$E$8,0))</f>
        <v>0.3</v>
      </c>
      <c r="L241" s="52" t="n">
        <f aca="false">J241*K241</f>
        <v>300</v>
      </c>
      <c r="M241" s="47" t="n">
        <f aca="false">MONTH(B241)</f>
        <v>10</v>
      </c>
      <c r="N241" s="47" t="str">
        <f aca="false">TEXT(B241,"mmm")</f>
        <v>Oct</v>
      </c>
    </row>
    <row r="242" customFormat="false" ht="15" hidden="false" customHeight="false" outlineLevel="0" collapsed="false">
      <c r="A242" s="47" t="s">
        <v>367</v>
      </c>
      <c r="B242" s="51" t="n">
        <v>45956</v>
      </c>
      <c r="C242" s="47" t="s">
        <v>68</v>
      </c>
      <c r="D242" s="47" t="s">
        <v>124</v>
      </c>
      <c r="E242" s="47" t="s">
        <v>125</v>
      </c>
      <c r="F242" s="47" t="s">
        <v>134</v>
      </c>
      <c r="G242" s="47" t="n">
        <v>4</v>
      </c>
      <c r="H242" s="52" t="n">
        <v>3500</v>
      </c>
      <c r="I242" s="49" t="n">
        <v>0</v>
      </c>
      <c r="J242" s="52" t="n">
        <f aca="false">G242*H242*(1-I242)</f>
        <v>14000</v>
      </c>
      <c r="K242" s="49" t="n">
        <f aca="false">INDEX('🧮 Formulas'!$F$6:$F$8,MATCH(D242,'🧮 Formulas'!$E$6:$E$8,0))</f>
        <v>0.18</v>
      </c>
      <c r="L242" s="52" t="n">
        <f aca="false">J242*K242</f>
        <v>2520</v>
      </c>
      <c r="M242" s="47" t="n">
        <f aca="false">MONTH(B242)</f>
        <v>10</v>
      </c>
      <c r="N242" s="47" t="str">
        <f aca="false">TEXT(B242,"mmm")</f>
        <v>Oct</v>
      </c>
    </row>
    <row r="243" customFormat="false" ht="15" hidden="false" customHeight="false" outlineLevel="0" collapsed="false">
      <c r="A243" s="47" t="s">
        <v>295</v>
      </c>
      <c r="B243" s="51" t="n">
        <v>45956</v>
      </c>
      <c r="C243" s="47" t="s">
        <v>67</v>
      </c>
      <c r="D243" s="47" t="s">
        <v>136</v>
      </c>
      <c r="E243" s="47" t="s">
        <v>137</v>
      </c>
      <c r="F243" s="47" t="s">
        <v>126</v>
      </c>
      <c r="G243" s="47" t="n">
        <v>2</v>
      </c>
      <c r="H243" s="52" t="n">
        <v>12000</v>
      </c>
      <c r="I243" s="49" t="n">
        <v>0</v>
      </c>
      <c r="J243" s="52" t="n">
        <f aca="false">G243*H243*(1-I243)</f>
        <v>24000</v>
      </c>
      <c r="K243" s="49" t="n">
        <f aca="false">INDEX('🧮 Formulas'!$F$6:$F$8,MATCH(D243,'🧮 Formulas'!$E$6:$E$8,0))</f>
        <v>0.22</v>
      </c>
      <c r="L243" s="52" t="n">
        <f aca="false">J243*K243</f>
        <v>5280</v>
      </c>
      <c r="M243" s="47" t="n">
        <f aca="false">MONTH(B243)</f>
        <v>10</v>
      </c>
      <c r="N243" s="47" t="str">
        <f aca="false">TEXT(B243,"mmm")</f>
        <v>Oct</v>
      </c>
    </row>
    <row r="244" customFormat="false" ht="15" hidden="false" customHeight="false" outlineLevel="0" collapsed="false">
      <c r="A244" s="47" t="s">
        <v>359</v>
      </c>
      <c r="B244" s="51" t="n">
        <v>45956</v>
      </c>
      <c r="C244" s="47" t="s">
        <v>68</v>
      </c>
      <c r="D244" s="47" t="s">
        <v>124</v>
      </c>
      <c r="E244" s="47" t="s">
        <v>133</v>
      </c>
      <c r="F244" s="47" t="s">
        <v>126</v>
      </c>
      <c r="G244" s="47" t="n">
        <v>1</v>
      </c>
      <c r="H244" s="52" t="n">
        <v>22000</v>
      </c>
      <c r="I244" s="49" t="n">
        <v>0.15</v>
      </c>
      <c r="J244" s="52" t="n">
        <f aca="false">G244*H244*(1-I244)</f>
        <v>18700</v>
      </c>
      <c r="K244" s="49" t="n">
        <f aca="false">INDEX('🧮 Formulas'!$F$6:$F$8,MATCH(D244,'🧮 Formulas'!$E$6:$E$8,0))</f>
        <v>0.18</v>
      </c>
      <c r="L244" s="52" t="n">
        <f aca="false">J244*K244</f>
        <v>3366</v>
      </c>
      <c r="M244" s="47" t="n">
        <f aca="false">MONTH(B244)</f>
        <v>10</v>
      </c>
      <c r="N244" s="47" t="str">
        <f aca="false">TEXT(B244,"mmm")</f>
        <v>Oct</v>
      </c>
    </row>
    <row r="245" customFormat="false" ht="15" hidden="false" customHeight="false" outlineLevel="0" collapsed="false">
      <c r="A245" s="47" t="s">
        <v>431</v>
      </c>
      <c r="B245" s="51" t="n">
        <v>45957</v>
      </c>
      <c r="C245" s="47" t="s">
        <v>65</v>
      </c>
      <c r="D245" s="47" t="s">
        <v>124</v>
      </c>
      <c r="E245" s="47" t="s">
        <v>146</v>
      </c>
      <c r="F245" s="47" t="s">
        <v>141</v>
      </c>
      <c r="G245" s="47" t="n">
        <v>4</v>
      </c>
      <c r="H245" s="52" t="n">
        <v>14000</v>
      </c>
      <c r="I245" s="49" t="n">
        <v>0.1</v>
      </c>
      <c r="J245" s="52" t="n">
        <f aca="false">G245*H245*(1-I245)</f>
        <v>50400</v>
      </c>
      <c r="K245" s="49" t="n">
        <f aca="false">INDEX('🧮 Formulas'!$F$6:$F$8,MATCH(D245,'🧮 Formulas'!$E$6:$E$8,0))</f>
        <v>0.18</v>
      </c>
      <c r="L245" s="52" t="n">
        <f aca="false">J245*K245</f>
        <v>9072</v>
      </c>
      <c r="M245" s="47" t="n">
        <f aca="false">MONTH(B245)</f>
        <v>10</v>
      </c>
      <c r="N245" s="47" t="str">
        <f aca="false">TEXT(B245,"mmm")</f>
        <v>Oct</v>
      </c>
    </row>
    <row r="246" customFormat="false" ht="15" hidden="false" customHeight="false" outlineLevel="0" collapsed="false">
      <c r="A246" s="47" t="s">
        <v>210</v>
      </c>
      <c r="B246" s="51" t="n">
        <v>45959</v>
      </c>
      <c r="C246" s="47" t="s">
        <v>66</v>
      </c>
      <c r="D246" s="47" t="s">
        <v>124</v>
      </c>
      <c r="E246" s="47" t="s">
        <v>125</v>
      </c>
      <c r="F246" s="47" t="s">
        <v>141</v>
      </c>
      <c r="G246" s="47" t="n">
        <v>1</v>
      </c>
      <c r="H246" s="52" t="n">
        <v>3500</v>
      </c>
      <c r="I246" s="49" t="n">
        <v>0</v>
      </c>
      <c r="J246" s="52" t="n">
        <f aca="false">G246*H246*(1-I246)</f>
        <v>3500</v>
      </c>
      <c r="K246" s="49" t="n">
        <f aca="false">INDEX('🧮 Formulas'!$F$6:$F$8,MATCH(D246,'🧮 Formulas'!$E$6:$E$8,0))</f>
        <v>0.18</v>
      </c>
      <c r="L246" s="52" t="n">
        <f aca="false">J246*K246</f>
        <v>630</v>
      </c>
      <c r="M246" s="47" t="n">
        <f aca="false">MONTH(B246)</f>
        <v>10</v>
      </c>
      <c r="N246" s="47" t="str">
        <f aca="false">TEXT(B246,"mmm")</f>
        <v>Oct</v>
      </c>
    </row>
    <row r="247" customFormat="false" ht="15" hidden="false" customHeight="false" outlineLevel="0" collapsed="false">
      <c r="A247" s="47" t="s">
        <v>330</v>
      </c>
      <c r="B247" s="51" t="n">
        <v>45959</v>
      </c>
      <c r="C247" s="47" t="s">
        <v>67</v>
      </c>
      <c r="D247" s="47" t="s">
        <v>128</v>
      </c>
      <c r="E247" s="47" t="s">
        <v>155</v>
      </c>
      <c r="F247" s="47" t="s">
        <v>126</v>
      </c>
      <c r="G247" s="47" t="n">
        <v>13</v>
      </c>
      <c r="H247" s="52" t="n">
        <v>250</v>
      </c>
      <c r="I247" s="49" t="n">
        <v>0</v>
      </c>
      <c r="J247" s="52" t="n">
        <f aca="false">G247*H247*(1-I247)</f>
        <v>3250</v>
      </c>
      <c r="K247" s="49" t="n">
        <f aca="false">INDEX('🧮 Formulas'!$F$6:$F$8,MATCH(D247,'🧮 Formulas'!$E$6:$E$8,0))</f>
        <v>0.3</v>
      </c>
      <c r="L247" s="52" t="n">
        <f aca="false">J247*K247</f>
        <v>975</v>
      </c>
      <c r="M247" s="47" t="n">
        <f aca="false">MONTH(B247)</f>
        <v>10</v>
      </c>
      <c r="N247" s="47" t="str">
        <f aca="false">TEXT(B247,"mmm")</f>
        <v>Oct</v>
      </c>
    </row>
    <row r="248" customFormat="false" ht="15" hidden="false" customHeight="false" outlineLevel="0" collapsed="false">
      <c r="A248" s="47" t="s">
        <v>226</v>
      </c>
      <c r="B248" s="51" t="n">
        <v>45962</v>
      </c>
      <c r="C248" s="47" t="s">
        <v>65</v>
      </c>
      <c r="D248" s="47" t="s">
        <v>128</v>
      </c>
      <c r="E248" s="47" t="s">
        <v>144</v>
      </c>
      <c r="F248" s="47" t="s">
        <v>134</v>
      </c>
      <c r="G248" s="47" t="n">
        <v>4</v>
      </c>
      <c r="H248" s="52" t="n">
        <v>180</v>
      </c>
      <c r="I248" s="49" t="n">
        <v>0.15</v>
      </c>
      <c r="J248" s="52" t="n">
        <f aca="false">G248*H248*(1-I248)</f>
        <v>612</v>
      </c>
      <c r="K248" s="49" t="n">
        <f aca="false">INDEX('🧮 Formulas'!$F$6:$F$8,MATCH(D248,'🧮 Formulas'!$E$6:$E$8,0))</f>
        <v>0.3</v>
      </c>
      <c r="L248" s="52" t="n">
        <f aca="false">J248*K248</f>
        <v>183.6</v>
      </c>
      <c r="M248" s="47" t="n">
        <f aca="false">MONTH(B248)</f>
        <v>11</v>
      </c>
      <c r="N248" s="47" t="str">
        <f aca="false">TEXT(B248,"mmm")</f>
        <v>Nov</v>
      </c>
    </row>
    <row r="249" customFormat="false" ht="15" hidden="false" customHeight="false" outlineLevel="0" collapsed="false">
      <c r="A249" s="47" t="s">
        <v>344</v>
      </c>
      <c r="B249" s="51" t="n">
        <v>45963</v>
      </c>
      <c r="C249" s="47" t="s">
        <v>65</v>
      </c>
      <c r="D249" s="47" t="s">
        <v>124</v>
      </c>
      <c r="E249" s="47" t="s">
        <v>133</v>
      </c>
      <c r="F249" s="47" t="s">
        <v>134</v>
      </c>
      <c r="G249" s="47" t="n">
        <v>4</v>
      </c>
      <c r="H249" s="52" t="n">
        <v>22000</v>
      </c>
      <c r="I249" s="49" t="n">
        <v>0.1</v>
      </c>
      <c r="J249" s="52" t="n">
        <f aca="false">G249*H249*(1-I249)</f>
        <v>79200</v>
      </c>
      <c r="K249" s="49" t="n">
        <f aca="false">INDEX('🧮 Formulas'!$F$6:$F$8,MATCH(D249,'🧮 Formulas'!$E$6:$E$8,0))</f>
        <v>0.18</v>
      </c>
      <c r="L249" s="52" t="n">
        <f aca="false">J249*K249</f>
        <v>14256</v>
      </c>
      <c r="M249" s="47" t="n">
        <f aca="false">MONTH(B249)</f>
        <v>11</v>
      </c>
      <c r="N249" s="47" t="str">
        <f aca="false">TEXT(B249,"mmm")</f>
        <v>Nov</v>
      </c>
    </row>
    <row r="250" customFormat="false" ht="15" hidden="false" customHeight="false" outlineLevel="0" collapsed="false">
      <c r="A250" s="47" t="s">
        <v>207</v>
      </c>
      <c r="B250" s="51" t="n">
        <v>45963</v>
      </c>
      <c r="C250" s="47" t="s">
        <v>65</v>
      </c>
      <c r="D250" s="47" t="s">
        <v>136</v>
      </c>
      <c r="E250" s="47" t="s">
        <v>139</v>
      </c>
      <c r="F250" s="47" t="s">
        <v>126</v>
      </c>
      <c r="G250" s="47" t="n">
        <v>5</v>
      </c>
      <c r="H250" s="52" t="n">
        <v>6500</v>
      </c>
      <c r="I250" s="49" t="n">
        <v>0</v>
      </c>
      <c r="J250" s="52" t="n">
        <f aca="false">G250*H250*(1-I250)</f>
        <v>32500</v>
      </c>
      <c r="K250" s="49" t="n">
        <f aca="false">INDEX('🧮 Formulas'!$F$6:$F$8,MATCH(D250,'🧮 Formulas'!$E$6:$E$8,0))</f>
        <v>0.22</v>
      </c>
      <c r="L250" s="52" t="n">
        <f aca="false">J250*K250</f>
        <v>7150</v>
      </c>
      <c r="M250" s="47" t="n">
        <f aca="false">MONTH(B250)</f>
        <v>11</v>
      </c>
      <c r="N250" s="47" t="str">
        <f aca="false">TEXT(B250,"mmm")</f>
        <v>Nov</v>
      </c>
    </row>
    <row r="251" customFormat="false" ht="15" hidden="false" customHeight="false" outlineLevel="0" collapsed="false">
      <c r="A251" s="47" t="s">
        <v>284</v>
      </c>
      <c r="B251" s="51" t="n">
        <v>45964</v>
      </c>
      <c r="C251" s="47" t="s">
        <v>65</v>
      </c>
      <c r="D251" s="47" t="s">
        <v>136</v>
      </c>
      <c r="E251" s="47" t="s">
        <v>137</v>
      </c>
      <c r="F251" s="47" t="s">
        <v>126</v>
      </c>
      <c r="G251" s="47" t="n">
        <v>4</v>
      </c>
      <c r="H251" s="52" t="n">
        <v>12000</v>
      </c>
      <c r="I251" s="49" t="n">
        <v>0</v>
      </c>
      <c r="J251" s="52" t="n">
        <f aca="false">G251*H251*(1-I251)</f>
        <v>48000</v>
      </c>
      <c r="K251" s="49" t="n">
        <f aca="false">INDEX('🧮 Formulas'!$F$6:$F$8,MATCH(D251,'🧮 Formulas'!$E$6:$E$8,0))</f>
        <v>0.22</v>
      </c>
      <c r="L251" s="52" t="n">
        <f aca="false">J251*K251</f>
        <v>10560</v>
      </c>
      <c r="M251" s="47" t="n">
        <f aca="false">MONTH(B251)</f>
        <v>11</v>
      </c>
      <c r="N251" s="47" t="str">
        <f aca="false">TEXT(B251,"mmm")</f>
        <v>Nov</v>
      </c>
    </row>
    <row r="252" customFormat="false" ht="15" hidden="false" customHeight="false" outlineLevel="0" collapsed="false">
      <c r="A252" s="47" t="s">
        <v>419</v>
      </c>
      <c r="B252" s="51" t="n">
        <v>45965</v>
      </c>
      <c r="C252" s="47" t="s">
        <v>67</v>
      </c>
      <c r="D252" s="47" t="s">
        <v>128</v>
      </c>
      <c r="E252" s="47" t="s">
        <v>129</v>
      </c>
      <c r="F252" s="47" t="s">
        <v>134</v>
      </c>
      <c r="G252" s="47" t="n">
        <v>8</v>
      </c>
      <c r="H252" s="52" t="n">
        <v>120</v>
      </c>
      <c r="I252" s="49" t="n">
        <v>0</v>
      </c>
      <c r="J252" s="52" t="n">
        <f aca="false">G252*H252*(1-I252)</f>
        <v>960</v>
      </c>
      <c r="K252" s="49" t="n">
        <f aca="false">INDEX('🧮 Formulas'!$F$6:$F$8,MATCH(D252,'🧮 Formulas'!$E$6:$E$8,0))</f>
        <v>0.3</v>
      </c>
      <c r="L252" s="52" t="n">
        <f aca="false">J252*K252</f>
        <v>288</v>
      </c>
      <c r="M252" s="47" t="n">
        <f aca="false">MONTH(B252)</f>
        <v>11</v>
      </c>
      <c r="N252" s="47" t="str">
        <f aca="false">TEXT(B252,"mmm")</f>
        <v>Nov</v>
      </c>
    </row>
    <row r="253" customFormat="false" ht="15" hidden="false" customHeight="false" outlineLevel="0" collapsed="false">
      <c r="A253" s="47" t="s">
        <v>386</v>
      </c>
      <c r="B253" s="51" t="n">
        <v>45966</v>
      </c>
      <c r="C253" s="47" t="s">
        <v>66</v>
      </c>
      <c r="D253" s="47" t="s">
        <v>124</v>
      </c>
      <c r="E253" s="47" t="s">
        <v>133</v>
      </c>
      <c r="F253" s="47" t="s">
        <v>141</v>
      </c>
      <c r="G253" s="47" t="n">
        <v>2</v>
      </c>
      <c r="H253" s="52" t="n">
        <v>22000</v>
      </c>
      <c r="I253" s="49" t="n">
        <v>0</v>
      </c>
      <c r="J253" s="52" t="n">
        <f aca="false">G253*H253*(1-I253)</f>
        <v>44000</v>
      </c>
      <c r="K253" s="49" t="n">
        <f aca="false">INDEX('🧮 Formulas'!$F$6:$F$8,MATCH(D253,'🧮 Formulas'!$E$6:$E$8,0))</f>
        <v>0.18</v>
      </c>
      <c r="L253" s="52" t="n">
        <f aca="false">J253*K253</f>
        <v>7920</v>
      </c>
      <c r="M253" s="47" t="n">
        <f aca="false">MONTH(B253)</f>
        <v>11</v>
      </c>
      <c r="N253" s="47" t="str">
        <f aca="false">TEXT(B253,"mmm")</f>
        <v>Nov</v>
      </c>
    </row>
    <row r="254" customFormat="false" ht="15" hidden="false" customHeight="false" outlineLevel="0" collapsed="false">
      <c r="A254" s="47" t="s">
        <v>182</v>
      </c>
      <c r="B254" s="51" t="n">
        <v>45967</v>
      </c>
      <c r="C254" s="47" t="s">
        <v>66</v>
      </c>
      <c r="D254" s="47" t="s">
        <v>136</v>
      </c>
      <c r="E254" s="47" t="s">
        <v>139</v>
      </c>
      <c r="F254" s="47" t="s">
        <v>141</v>
      </c>
      <c r="G254" s="47" t="n">
        <v>3</v>
      </c>
      <c r="H254" s="52" t="n">
        <v>6500</v>
      </c>
      <c r="I254" s="49" t="n">
        <v>0.05</v>
      </c>
      <c r="J254" s="52" t="n">
        <f aca="false">G254*H254*(1-I254)</f>
        <v>18525</v>
      </c>
      <c r="K254" s="49" t="n">
        <f aca="false">INDEX('🧮 Formulas'!$F$6:$F$8,MATCH(D254,'🧮 Formulas'!$E$6:$E$8,0))</f>
        <v>0.22</v>
      </c>
      <c r="L254" s="52" t="n">
        <f aca="false">J254*K254</f>
        <v>4075.5</v>
      </c>
      <c r="M254" s="47" t="n">
        <f aca="false">MONTH(B254)</f>
        <v>11</v>
      </c>
      <c r="N254" s="47" t="str">
        <f aca="false">TEXT(B254,"mmm")</f>
        <v>Nov</v>
      </c>
    </row>
    <row r="255" customFormat="false" ht="15" hidden="false" customHeight="false" outlineLevel="0" collapsed="false">
      <c r="A255" s="47" t="s">
        <v>412</v>
      </c>
      <c r="B255" s="51" t="n">
        <v>45967</v>
      </c>
      <c r="C255" s="47" t="s">
        <v>66</v>
      </c>
      <c r="D255" s="47" t="s">
        <v>136</v>
      </c>
      <c r="E255" s="47" t="s">
        <v>137</v>
      </c>
      <c r="F255" s="47" t="s">
        <v>134</v>
      </c>
      <c r="G255" s="47" t="n">
        <v>2</v>
      </c>
      <c r="H255" s="52" t="n">
        <v>12000</v>
      </c>
      <c r="I255" s="49" t="n">
        <v>0</v>
      </c>
      <c r="J255" s="52" t="n">
        <f aca="false">G255*H255*(1-I255)</f>
        <v>24000</v>
      </c>
      <c r="K255" s="49" t="n">
        <f aca="false">INDEX('🧮 Formulas'!$F$6:$F$8,MATCH(D255,'🧮 Formulas'!$E$6:$E$8,0))</f>
        <v>0.22</v>
      </c>
      <c r="L255" s="52" t="n">
        <f aca="false">J255*K255</f>
        <v>5280</v>
      </c>
      <c r="M255" s="47" t="n">
        <f aca="false">MONTH(B255)</f>
        <v>11</v>
      </c>
      <c r="N255" s="47" t="str">
        <f aca="false">TEXT(B255,"mmm")</f>
        <v>Nov</v>
      </c>
    </row>
    <row r="256" customFormat="false" ht="15" hidden="false" customHeight="false" outlineLevel="0" collapsed="false">
      <c r="A256" s="47" t="s">
        <v>320</v>
      </c>
      <c r="B256" s="51" t="n">
        <v>45968</v>
      </c>
      <c r="C256" s="47" t="s">
        <v>66</v>
      </c>
      <c r="D256" s="47" t="s">
        <v>128</v>
      </c>
      <c r="E256" s="47" t="s">
        <v>144</v>
      </c>
      <c r="F256" s="47" t="s">
        <v>134</v>
      </c>
      <c r="G256" s="47" t="n">
        <v>4</v>
      </c>
      <c r="H256" s="52" t="n">
        <v>180</v>
      </c>
      <c r="I256" s="49" t="n">
        <v>0.15</v>
      </c>
      <c r="J256" s="52" t="n">
        <f aca="false">G256*H256*(1-I256)</f>
        <v>612</v>
      </c>
      <c r="K256" s="49" t="n">
        <f aca="false">INDEX('🧮 Formulas'!$F$6:$F$8,MATCH(D256,'🧮 Formulas'!$E$6:$E$8,0))</f>
        <v>0.3</v>
      </c>
      <c r="L256" s="52" t="n">
        <f aca="false">J256*K256</f>
        <v>183.6</v>
      </c>
      <c r="M256" s="47" t="n">
        <f aca="false">MONTH(B256)</f>
        <v>11</v>
      </c>
      <c r="N256" s="47" t="str">
        <f aca="false">TEXT(B256,"mmm")</f>
        <v>Nov</v>
      </c>
    </row>
    <row r="257" customFormat="false" ht="15" hidden="false" customHeight="false" outlineLevel="0" collapsed="false">
      <c r="A257" s="47" t="s">
        <v>234</v>
      </c>
      <c r="B257" s="51" t="n">
        <v>45977</v>
      </c>
      <c r="C257" s="47" t="s">
        <v>68</v>
      </c>
      <c r="D257" s="47" t="s">
        <v>128</v>
      </c>
      <c r="E257" s="47" t="s">
        <v>155</v>
      </c>
      <c r="F257" s="47" t="s">
        <v>141</v>
      </c>
      <c r="G257" s="47" t="n">
        <v>7</v>
      </c>
      <c r="H257" s="52" t="n">
        <v>250</v>
      </c>
      <c r="I257" s="49" t="n">
        <v>0</v>
      </c>
      <c r="J257" s="52" t="n">
        <f aca="false">G257*H257*(1-I257)</f>
        <v>1750</v>
      </c>
      <c r="K257" s="49" t="n">
        <f aca="false">INDEX('🧮 Formulas'!$F$6:$F$8,MATCH(D257,'🧮 Formulas'!$E$6:$E$8,0))</f>
        <v>0.3</v>
      </c>
      <c r="L257" s="52" t="n">
        <f aca="false">J257*K257</f>
        <v>525</v>
      </c>
      <c r="M257" s="47" t="n">
        <f aca="false">MONTH(B257)</f>
        <v>11</v>
      </c>
      <c r="N257" s="47" t="str">
        <f aca="false">TEXT(B257,"mmm")</f>
        <v>Nov</v>
      </c>
    </row>
    <row r="258" customFormat="false" ht="15" hidden="false" customHeight="false" outlineLevel="0" collapsed="false">
      <c r="A258" s="47" t="s">
        <v>466</v>
      </c>
      <c r="B258" s="51" t="n">
        <v>45978</v>
      </c>
      <c r="C258" s="47" t="s">
        <v>68</v>
      </c>
      <c r="D258" s="47" t="s">
        <v>124</v>
      </c>
      <c r="E258" s="47" t="s">
        <v>125</v>
      </c>
      <c r="F258" s="47" t="s">
        <v>126</v>
      </c>
      <c r="G258" s="47" t="n">
        <v>4</v>
      </c>
      <c r="H258" s="52" t="n">
        <v>3500</v>
      </c>
      <c r="I258" s="49" t="n">
        <v>0</v>
      </c>
      <c r="J258" s="52" t="n">
        <f aca="false">G258*H258*(1-I258)</f>
        <v>14000</v>
      </c>
      <c r="K258" s="49" t="n">
        <f aca="false">INDEX('🧮 Formulas'!$F$6:$F$8,MATCH(D258,'🧮 Formulas'!$E$6:$E$8,0))</f>
        <v>0.18</v>
      </c>
      <c r="L258" s="52" t="n">
        <f aca="false">J258*K258</f>
        <v>2520</v>
      </c>
      <c r="M258" s="47" t="n">
        <f aca="false">MONTH(B258)</f>
        <v>11</v>
      </c>
      <c r="N258" s="47" t="str">
        <f aca="false">TEXT(B258,"mmm")</f>
        <v>Nov</v>
      </c>
    </row>
    <row r="259" customFormat="false" ht="15" hidden="false" customHeight="false" outlineLevel="0" collapsed="false">
      <c r="A259" s="47" t="s">
        <v>382</v>
      </c>
      <c r="B259" s="51" t="n">
        <v>45978</v>
      </c>
      <c r="C259" s="47" t="s">
        <v>68</v>
      </c>
      <c r="D259" s="47" t="s">
        <v>128</v>
      </c>
      <c r="E259" s="47" t="s">
        <v>144</v>
      </c>
      <c r="F259" s="47" t="s">
        <v>141</v>
      </c>
      <c r="G259" s="47" t="n">
        <v>7</v>
      </c>
      <c r="H259" s="52" t="n">
        <v>180</v>
      </c>
      <c r="I259" s="49" t="n">
        <v>0</v>
      </c>
      <c r="J259" s="52" t="n">
        <f aca="false">G259*H259*(1-I259)</f>
        <v>1260</v>
      </c>
      <c r="K259" s="49" t="n">
        <f aca="false">INDEX('🧮 Formulas'!$F$6:$F$8,MATCH(D259,'🧮 Formulas'!$E$6:$E$8,0))</f>
        <v>0.3</v>
      </c>
      <c r="L259" s="52" t="n">
        <f aca="false">J259*K259</f>
        <v>378</v>
      </c>
      <c r="M259" s="47" t="n">
        <f aca="false">MONTH(B259)</f>
        <v>11</v>
      </c>
      <c r="N259" s="47" t="str">
        <f aca="false">TEXT(B259,"mmm")</f>
        <v>Nov</v>
      </c>
    </row>
    <row r="260" customFormat="false" ht="15" hidden="false" customHeight="false" outlineLevel="0" collapsed="false">
      <c r="A260" s="47" t="s">
        <v>251</v>
      </c>
      <c r="B260" s="51" t="n">
        <v>45979</v>
      </c>
      <c r="C260" s="47" t="s">
        <v>67</v>
      </c>
      <c r="D260" s="47" t="s">
        <v>128</v>
      </c>
      <c r="E260" s="47" t="s">
        <v>155</v>
      </c>
      <c r="F260" s="47" t="s">
        <v>126</v>
      </c>
      <c r="G260" s="47" t="n">
        <v>15</v>
      </c>
      <c r="H260" s="52" t="n">
        <v>250</v>
      </c>
      <c r="I260" s="49" t="n">
        <v>0.1</v>
      </c>
      <c r="J260" s="52" t="n">
        <f aca="false">G260*H260*(1-I260)</f>
        <v>3375</v>
      </c>
      <c r="K260" s="49" t="n">
        <f aca="false">INDEX('🧮 Formulas'!$F$6:$F$8,MATCH(D260,'🧮 Formulas'!$E$6:$E$8,0))</f>
        <v>0.3</v>
      </c>
      <c r="L260" s="52" t="n">
        <f aca="false">J260*K260</f>
        <v>1012.5</v>
      </c>
      <c r="M260" s="47" t="n">
        <f aca="false">MONTH(B260)</f>
        <v>11</v>
      </c>
      <c r="N260" s="47" t="str">
        <f aca="false">TEXT(B260,"mmm")</f>
        <v>Nov</v>
      </c>
    </row>
    <row r="261" customFormat="false" ht="15" hidden="false" customHeight="false" outlineLevel="0" collapsed="false">
      <c r="A261" s="47" t="s">
        <v>423</v>
      </c>
      <c r="B261" s="51" t="n">
        <v>45980</v>
      </c>
      <c r="C261" s="47" t="s">
        <v>65</v>
      </c>
      <c r="D261" s="47" t="s">
        <v>136</v>
      </c>
      <c r="E261" s="47" t="s">
        <v>160</v>
      </c>
      <c r="F261" s="47" t="s">
        <v>126</v>
      </c>
      <c r="G261" s="47" t="n">
        <v>5</v>
      </c>
      <c r="H261" s="52" t="n">
        <v>8500</v>
      </c>
      <c r="I261" s="49" t="n">
        <v>0</v>
      </c>
      <c r="J261" s="52" t="n">
        <f aca="false">G261*H261*(1-I261)</f>
        <v>42500</v>
      </c>
      <c r="K261" s="49" t="n">
        <f aca="false">INDEX('🧮 Formulas'!$F$6:$F$8,MATCH(D261,'🧮 Formulas'!$E$6:$E$8,0))</f>
        <v>0.22</v>
      </c>
      <c r="L261" s="52" t="n">
        <f aca="false">J261*K261</f>
        <v>9350</v>
      </c>
      <c r="M261" s="47" t="n">
        <f aca="false">MONTH(B261)</f>
        <v>11</v>
      </c>
      <c r="N261" s="47" t="str">
        <f aca="false">TEXT(B261,"mmm")</f>
        <v>Nov</v>
      </c>
    </row>
    <row r="262" customFormat="false" ht="15" hidden="false" customHeight="false" outlineLevel="0" collapsed="false">
      <c r="A262" s="47" t="s">
        <v>306</v>
      </c>
      <c r="B262" s="51" t="n">
        <v>45986</v>
      </c>
      <c r="C262" s="47" t="s">
        <v>66</v>
      </c>
      <c r="D262" s="47" t="s">
        <v>136</v>
      </c>
      <c r="E262" s="47" t="s">
        <v>160</v>
      </c>
      <c r="F262" s="47" t="s">
        <v>141</v>
      </c>
      <c r="G262" s="47" t="n">
        <v>5</v>
      </c>
      <c r="H262" s="52" t="n">
        <v>8500</v>
      </c>
      <c r="I262" s="49" t="n">
        <v>0.15</v>
      </c>
      <c r="J262" s="52" t="n">
        <f aca="false">G262*H262*(1-I262)</f>
        <v>36125</v>
      </c>
      <c r="K262" s="49" t="n">
        <f aca="false">INDEX('🧮 Formulas'!$F$6:$F$8,MATCH(D262,'🧮 Formulas'!$E$6:$E$8,0))</f>
        <v>0.22</v>
      </c>
      <c r="L262" s="52" t="n">
        <f aca="false">J262*K262</f>
        <v>7947.5</v>
      </c>
      <c r="M262" s="47" t="n">
        <f aca="false">MONTH(B262)</f>
        <v>11</v>
      </c>
      <c r="N262" s="47" t="str">
        <f aca="false">TEXT(B262,"mmm")</f>
        <v>Nov</v>
      </c>
    </row>
    <row r="263" customFormat="false" ht="15" hidden="false" customHeight="false" outlineLevel="0" collapsed="false">
      <c r="A263" s="47" t="s">
        <v>406</v>
      </c>
      <c r="B263" s="51" t="n">
        <v>45988</v>
      </c>
      <c r="C263" s="47" t="s">
        <v>66</v>
      </c>
      <c r="D263" s="47" t="s">
        <v>124</v>
      </c>
      <c r="E263" s="47" t="s">
        <v>125</v>
      </c>
      <c r="F263" s="47" t="s">
        <v>126</v>
      </c>
      <c r="G263" s="47" t="n">
        <v>3</v>
      </c>
      <c r="H263" s="52" t="n">
        <v>3500</v>
      </c>
      <c r="I263" s="49" t="n">
        <v>0</v>
      </c>
      <c r="J263" s="52" t="n">
        <f aca="false">G263*H263*(1-I263)</f>
        <v>10500</v>
      </c>
      <c r="K263" s="49" t="n">
        <f aca="false">INDEX('🧮 Formulas'!$F$6:$F$8,MATCH(D263,'🧮 Formulas'!$E$6:$E$8,0))</f>
        <v>0.18</v>
      </c>
      <c r="L263" s="52" t="n">
        <f aca="false">J263*K263</f>
        <v>1890</v>
      </c>
      <c r="M263" s="47" t="n">
        <f aca="false">MONTH(B263)</f>
        <v>11</v>
      </c>
      <c r="N263" s="47" t="str">
        <f aca="false">TEXT(B263,"mmm")</f>
        <v>Nov</v>
      </c>
    </row>
    <row r="264" customFormat="false" ht="15" hidden="false" customHeight="false" outlineLevel="0" collapsed="false">
      <c r="A264" s="47" t="s">
        <v>185</v>
      </c>
      <c r="B264" s="51" t="n">
        <v>45990</v>
      </c>
      <c r="C264" s="47" t="s">
        <v>68</v>
      </c>
      <c r="D264" s="47" t="s">
        <v>124</v>
      </c>
      <c r="E264" s="47" t="s">
        <v>131</v>
      </c>
      <c r="F264" s="47" t="s">
        <v>126</v>
      </c>
      <c r="G264" s="47" t="n">
        <v>2</v>
      </c>
      <c r="H264" s="52" t="n">
        <v>55000</v>
      </c>
      <c r="I264" s="49" t="n">
        <v>0.1</v>
      </c>
      <c r="J264" s="52" t="n">
        <f aca="false">G264*H264*(1-I264)</f>
        <v>99000</v>
      </c>
      <c r="K264" s="49" t="n">
        <f aca="false">INDEX('🧮 Formulas'!$F$6:$F$8,MATCH(D264,'🧮 Formulas'!$E$6:$E$8,0))</f>
        <v>0.18</v>
      </c>
      <c r="L264" s="52" t="n">
        <f aca="false">J264*K264</f>
        <v>17820</v>
      </c>
      <c r="M264" s="47" t="n">
        <f aca="false">MONTH(B264)</f>
        <v>11</v>
      </c>
      <c r="N264" s="47" t="str">
        <f aca="false">TEXT(B264,"mmm")</f>
        <v>Nov</v>
      </c>
    </row>
    <row r="265" customFormat="false" ht="15" hidden="false" customHeight="false" outlineLevel="0" collapsed="false">
      <c r="A265" s="47" t="s">
        <v>377</v>
      </c>
      <c r="B265" s="51" t="n">
        <v>45990</v>
      </c>
      <c r="C265" s="47" t="s">
        <v>67</v>
      </c>
      <c r="D265" s="47" t="s">
        <v>136</v>
      </c>
      <c r="E265" s="47" t="s">
        <v>184</v>
      </c>
      <c r="F265" s="47" t="s">
        <v>126</v>
      </c>
      <c r="G265" s="47" t="n">
        <v>3</v>
      </c>
      <c r="H265" s="52" t="n">
        <v>1800</v>
      </c>
      <c r="I265" s="49" t="n">
        <v>0</v>
      </c>
      <c r="J265" s="52" t="n">
        <f aca="false">G265*H265*(1-I265)</f>
        <v>5400</v>
      </c>
      <c r="K265" s="49" t="n">
        <f aca="false">INDEX('🧮 Formulas'!$F$6:$F$8,MATCH(D265,'🧮 Formulas'!$E$6:$E$8,0))</f>
        <v>0.22</v>
      </c>
      <c r="L265" s="52" t="n">
        <f aca="false">J265*K265</f>
        <v>1188</v>
      </c>
      <c r="M265" s="47" t="n">
        <f aca="false">MONTH(B265)</f>
        <v>11</v>
      </c>
      <c r="N265" s="47" t="str">
        <f aca="false">TEXT(B265,"mmm")</f>
        <v>Nov</v>
      </c>
    </row>
    <row r="266" customFormat="false" ht="15" hidden="false" customHeight="false" outlineLevel="0" collapsed="false">
      <c r="A266" s="47" t="s">
        <v>318</v>
      </c>
      <c r="B266" s="51" t="n">
        <v>45992</v>
      </c>
      <c r="C266" s="47" t="s">
        <v>65</v>
      </c>
      <c r="D266" s="47" t="s">
        <v>136</v>
      </c>
      <c r="E266" s="47" t="s">
        <v>139</v>
      </c>
      <c r="F266" s="47" t="s">
        <v>141</v>
      </c>
      <c r="G266" s="47" t="n">
        <v>5</v>
      </c>
      <c r="H266" s="52" t="n">
        <v>6500</v>
      </c>
      <c r="I266" s="49" t="n">
        <v>0.15</v>
      </c>
      <c r="J266" s="52" t="n">
        <f aca="false">G266*H266*(1-I266)</f>
        <v>27625</v>
      </c>
      <c r="K266" s="49" t="n">
        <f aca="false">INDEX('🧮 Formulas'!$F$6:$F$8,MATCH(D266,'🧮 Formulas'!$E$6:$E$8,0))</f>
        <v>0.22</v>
      </c>
      <c r="L266" s="52" t="n">
        <f aca="false">J266*K266</f>
        <v>6077.5</v>
      </c>
      <c r="M266" s="47" t="n">
        <f aca="false">MONTH(B266)</f>
        <v>12</v>
      </c>
      <c r="N266" s="47" t="str">
        <f aca="false">TEXT(B266,"mmm")</f>
        <v>Dec</v>
      </c>
    </row>
    <row r="267" customFormat="false" ht="15" hidden="false" customHeight="false" outlineLevel="0" collapsed="false">
      <c r="A267" s="47" t="s">
        <v>389</v>
      </c>
      <c r="B267" s="51" t="n">
        <v>45993</v>
      </c>
      <c r="C267" s="47" t="s">
        <v>66</v>
      </c>
      <c r="D267" s="47" t="s">
        <v>124</v>
      </c>
      <c r="E267" s="47" t="s">
        <v>133</v>
      </c>
      <c r="F267" s="47" t="s">
        <v>126</v>
      </c>
      <c r="G267" s="47" t="n">
        <v>4</v>
      </c>
      <c r="H267" s="52" t="n">
        <v>22000</v>
      </c>
      <c r="I267" s="49" t="n">
        <v>0.1</v>
      </c>
      <c r="J267" s="52" t="n">
        <f aca="false">G267*H267*(1-I267)</f>
        <v>79200</v>
      </c>
      <c r="K267" s="49" t="n">
        <f aca="false">INDEX('🧮 Formulas'!$F$6:$F$8,MATCH(D267,'🧮 Formulas'!$E$6:$E$8,0))</f>
        <v>0.18</v>
      </c>
      <c r="L267" s="52" t="n">
        <f aca="false">J267*K267</f>
        <v>14256</v>
      </c>
      <c r="M267" s="47" t="n">
        <f aca="false">MONTH(B267)</f>
        <v>12</v>
      </c>
      <c r="N267" s="47" t="str">
        <f aca="false">TEXT(B267,"mmm")</f>
        <v>Dec</v>
      </c>
    </row>
    <row r="268" customFormat="false" ht="15" hidden="false" customHeight="false" outlineLevel="0" collapsed="false">
      <c r="A268" s="47" t="s">
        <v>476</v>
      </c>
      <c r="B268" s="51" t="n">
        <v>45993</v>
      </c>
      <c r="C268" s="47" t="s">
        <v>67</v>
      </c>
      <c r="D268" s="47" t="s">
        <v>128</v>
      </c>
      <c r="E268" s="47" t="s">
        <v>129</v>
      </c>
      <c r="F268" s="47" t="s">
        <v>134</v>
      </c>
      <c r="G268" s="47" t="n">
        <v>15</v>
      </c>
      <c r="H268" s="52" t="n">
        <v>120</v>
      </c>
      <c r="I268" s="49" t="n">
        <v>0</v>
      </c>
      <c r="J268" s="52" t="n">
        <f aca="false">G268*H268*(1-I268)</f>
        <v>1800</v>
      </c>
      <c r="K268" s="49" t="n">
        <f aca="false">INDEX('🧮 Formulas'!$F$6:$F$8,MATCH(D268,'🧮 Formulas'!$E$6:$E$8,0))</f>
        <v>0.3</v>
      </c>
      <c r="L268" s="52" t="n">
        <f aca="false">J268*K268</f>
        <v>540</v>
      </c>
      <c r="M268" s="47" t="n">
        <f aca="false">MONTH(B268)</f>
        <v>12</v>
      </c>
      <c r="N268" s="47" t="str">
        <f aca="false">TEXT(B268,"mmm")</f>
        <v>Dec</v>
      </c>
    </row>
    <row r="269" customFormat="false" ht="15" hidden="false" customHeight="false" outlineLevel="0" collapsed="false">
      <c r="A269" s="47" t="s">
        <v>258</v>
      </c>
      <c r="B269" s="51" t="n">
        <v>45994</v>
      </c>
      <c r="C269" s="47" t="s">
        <v>67</v>
      </c>
      <c r="D269" s="47" t="s">
        <v>124</v>
      </c>
      <c r="E269" s="47" t="s">
        <v>131</v>
      </c>
      <c r="F269" s="47" t="s">
        <v>134</v>
      </c>
      <c r="G269" s="47" t="n">
        <v>4</v>
      </c>
      <c r="H269" s="52" t="n">
        <v>55000</v>
      </c>
      <c r="I269" s="49" t="n">
        <v>0</v>
      </c>
      <c r="J269" s="52" t="n">
        <f aca="false">G269*H269*(1-I269)</f>
        <v>220000</v>
      </c>
      <c r="K269" s="49" t="n">
        <f aca="false">INDEX('🧮 Formulas'!$F$6:$F$8,MATCH(D269,'🧮 Formulas'!$E$6:$E$8,0))</f>
        <v>0.18</v>
      </c>
      <c r="L269" s="52" t="n">
        <f aca="false">J269*K269</f>
        <v>39600</v>
      </c>
      <c r="M269" s="47" t="n">
        <f aca="false">MONTH(B269)</f>
        <v>12</v>
      </c>
      <c r="N269" s="47" t="str">
        <f aca="false">TEXT(B269,"mmm")</f>
        <v>Dec</v>
      </c>
    </row>
    <row r="270" customFormat="false" ht="15" hidden="false" customHeight="false" outlineLevel="0" collapsed="false">
      <c r="A270" s="47" t="s">
        <v>369</v>
      </c>
      <c r="B270" s="51" t="n">
        <v>45994</v>
      </c>
      <c r="C270" s="47" t="s">
        <v>68</v>
      </c>
      <c r="D270" s="47" t="s">
        <v>124</v>
      </c>
      <c r="E270" s="47" t="s">
        <v>146</v>
      </c>
      <c r="F270" s="47" t="s">
        <v>134</v>
      </c>
      <c r="G270" s="47" t="n">
        <v>1</v>
      </c>
      <c r="H270" s="52" t="n">
        <v>14000</v>
      </c>
      <c r="I270" s="49" t="n">
        <v>0</v>
      </c>
      <c r="J270" s="52" t="n">
        <f aca="false">G270*H270*(1-I270)</f>
        <v>14000</v>
      </c>
      <c r="K270" s="49" t="n">
        <f aca="false">INDEX('🧮 Formulas'!$F$6:$F$8,MATCH(D270,'🧮 Formulas'!$E$6:$E$8,0))</f>
        <v>0.18</v>
      </c>
      <c r="L270" s="52" t="n">
        <f aca="false">J270*K270</f>
        <v>2520</v>
      </c>
      <c r="M270" s="47" t="n">
        <f aca="false">MONTH(B270)</f>
        <v>12</v>
      </c>
      <c r="N270" s="47" t="str">
        <f aca="false">TEXT(B270,"mmm")</f>
        <v>Dec</v>
      </c>
    </row>
    <row r="271" customFormat="false" ht="15" hidden="false" customHeight="false" outlineLevel="0" collapsed="false">
      <c r="A271" s="47" t="s">
        <v>150</v>
      </c>
      <c r="B271" s="51" t="n">
        <v>45994</v>
      </c>
      <c r="C271" s="47" t="s">
        <v>68</v>
      </c>
      <c r="D271" s="47" t="s">
        <v>136</v>
      </c>
      <c r="E271" s="47" t="s">
        <v>137</v>
      </c>
      <c r="F271" s="47" t="s">
        <v>126</v>
      </c>
      <c r="G271" s="47" t="n">
        <v>2</v>
      </c>
      <c r="H271" s="52" t="n">
        <v>12000</v>
      </c>
      <c r="I271" s="49" t="n">
        <v>0</v>
      </c>
      <c r="J271" s="52" t="n">
        <f aca="false">G271*H271*(1-I271)</f>
        <v>24000</v>
      </c>
      <c r="K271" s="49" t="n">
        <f aca="false">INDEX('🧮 Formulas'!$F$6:$F$8,MATCH(D271,'🧮 Formulas'!$E$6:$E$8,0))</f>
        <v>0.22</v>
      </c>
      <c r="L271" s="52" t="n">
        <f aca="false">J271*K271</f>
        <v>5280</v>
      </c>
      <c r="M271" s="47" t="n">
        <f aca="false">MONTH(B271)</f>
        <v>12</v>
      </c>
      <c r="N271" s="47" t="str">
        <f aca="false">TEXT(B271,"mmm")</f>
        <v>Dec</v>
      </c>
    </row>
    <row r="272" customFormat="false" ht="15" hidden="false" customHeight="false" outlineLevel="0" collapsed="false">
      <c r="A272" s="47" t="s">
        <v>235</v>
      </c>
      <c r="B272" s="51" t="n">
        <v>45994</v>
      </c>
      <c r="C272" s="47" t="s">
        <v>67</v>
      </c>
      <c r="D272" s="47" t="s">
        <v>128</v>
      </c>
      <c r="E272" s="47" t="s">
        <v>129</v>
      </c>
      <c r="F272" s="47" t="s">
        <v>126</v>
      </c>
      <c r="G272" s="47" t="n">
        <v>11</v>
      </c>
      <c r="H272" s="52" t="n">
        <v>120</v>
      </c>
      <c r="I272" s="49" t="n">
        <v>0</v>
      </c>
      <c r="J272" s="52" t="n">
        <f aca="false">G272*H272*(1-I272)</f>
        <v>1320</v>
      </c>
      <c r="K272" s="49" t="n">
        <f aca="false">INDEX('🧮 Formulas'!$F$6:$F$8,MATCH(D272,'🧮 Formulas'!$E$6:$E$8,0))</f>
        <v>0.3</v>
      </c>
      <c r="L272" s="52" t="n">
        <f aca="false">J272*K272</f>
        <v>396</v>
      </c>
      <c r="M272" s="47" t="n">
        <f aca="false">MONTH(B272)</f>
        <v>12</v>
      </c>
      <c r="N272" s="47" t="str">
        <f aca="false">TEXT(B272,"mmm")</f>
        <v>Dec</v>
      </c>
    </row>
    <row r="273" customFormat="false" ht="15" hidden="false" customHeight="false" outlineLevel="0" collapsed="false">
      <c r="A273" s="47" t="s">
        <v>227</v>
      </c>
      <c r="B273" s="51" t="n">
        <v>45995</v>
      </c>
      <c r="C273" s="47" t="s">
        <v>68</v>
      </c>
      <c r="D273" s="47" t="s">
        <v>136</v>
      </c>
      <c r="E273" s="47" t="s">
        <v>139</v>
      </c>
      <c r="F273" s="47" t="s">
        <v>134</v>
      </c>
      <c r="G273" s="47" t="n">
        <v>1</v>
      </c>
      <c r="H273" s="52" t="n">
        <v>6500</v>
      </c>
      <c r="I273" s="49" t="n">
        <v>0</v>
      </c>
      <c r="J273" s="52" t="n">
        <f aca="false">G273*H273*(1-I273)</f>
        <v>6500</v>
      </c>
      <c r="K273" s="49" t="n">
        <f aca="false">INDEX('🧮 Formulas'!$F$6:$F$8,MATCH(D273,'🧮 Formulas'!$E$6:$E$8,0))</f>
        <v>0.22</v>
      </c>
      <c r="L273" s="52" t="n">
        <f aca="false">J273*K273</f>
        <v>1430</v>
      </c>
      <c r="M273" s="47" t="n">
        <f aca="false">MONTH(B273)</f>
        <v>12</v>
      </c>
      <c r="N273" s="47" t="str">
        <f aca="false">TEXT(B273,"mmm")</f>
        <v>Dec</v>
      </c>
    </row>
    <row r="274" customFormat="false" ht="15" hidden="false" customHeight="false" outlineLevel="0" collapsed="false">
      <c r="A274" s="47" t="s">
        <v>249</v>
      </c>
      <c r="B274" s="51" t="n">
        <v>45995</v>
      </c>
      <c r="C274" s="47" t="s">
        <v>67</v>
      </c>
      <c r="D274" s="47" t="s">
        <v>124</v>
      </c>
      <c r="E274" s="47" t="s">
        <v>133</v>
      </c>
      <c r="F274" s="47" t="s">
        <v>134</v>
      </c>
      <c r="G274" s="47" t="n">
        <v>1</v>
      </c>
      <c r="H274" s="52" t="n">
        <v>22000</v>
      </c>
      <c r="I274" s="49" t="n">
        <v>0.2</v>
      </c>
      <c r="J274" s="52" t="n">
        <f aca="false">G274*H274*(1-I274)</f>
        <v>17600</v>
      </c>
      <c r="K274" s="49" t="n">
        <f aca="false">INDEX('🧮 Formulas'!$F$6:$F$8,MATCH(D274,'🧮 Formulas'!$E$6:$E$8,0))</f>
        <v>0.18</v>
      </c>
      <c r="L274" s="52" t="n">
        <f aca="false">J274*K274</f>
        <v>3168</v>
      </c>
      <c r="M274" s="47" t="n">
        <f aca="false">MONTH(B274)</f>
        <v>12</v>
      </c>
      <c r="N274" s="47" t="str">
        <f aca="false">TEXT(B274,"mmm")</f>
        <v>Dec</v>
      </c>
    </row>
    <row r="275" customFormat="false" ht="15" hidden="false" customHeight="false" outlineLevel="0" collapsed="false">
      <c r="A275" s="47" t="s">
        <v>444</v>
      </c>
      <c r="B275" s="51" t="n">
        <v>45996</v>
      </c>
      <c r="C275" s="47" t="s">
        <v>67</v>
      </c>
      <c r="D275" s="47" t="s">
        <v>124</v>
      </c>
      <c r="E275" s="47" t="s">
        <v>131</v>
      </c>
      <c r="F275" s="47" t="s">
        <v>141</v>
      </c>
      <c r="G275" s="47" t="n">
        <v>1</v>
      </c>
      <c r="H275" s="52" t="n">
        <v>55000</v>
      </c>
      <c r="I275" s="49" t="n">
        <v>0</v>
      </c>
      <c r="J275" s="52" t="n">
        <f aca="false">G275*H275*(1-I275)</f>
        <v>55000</v>
      </c>
      <c r="K275" s="49" t="n">
        <f aca="false">INDEX('🧮 Formulas'!$F$6:$F$8,MATCH(D275,'🧮 Formulas'!$E$6:$E$8,0))</f>
        <v>0.18</v>
      </c>
      <c r="L275" s="52" t="n">
        <f aca="false">J275*K275</f>
        <v>9900</v>
      </c>
      <c r="M275" s="47" t="n">
        <f aca="false">MONTH(B275)</f>
        <v>12</v>
      </c>
      <c r="N275" s="47" t="str">
        <f aca="false">TEXT(B275,"mmm")</f>
        <v>Dec</v>
      </c>
    </row>
    <row r="276" customFormat="false" ht="15" hidden="false" customHeight="false" outlineLevel="0" collapsed="false">
      <c r="A276" s="47" t="s">
        <v>152</v>
      </c>
      <c r="B276" s="51" t="n">
        <v>45997</v>
      </c>
      <c r="C276" s="47" t="s">
        <v>66</v>
      </c>
      <c r="D276" s="47" t="s">
        <v>128</v>
      </c>
      <c r="E276" s="47" t="s">
        <v>144</v>
      </c>
      <c r="F276" s="47" t="s">
        <v>134</v>
      </c>
      <c r="G276" s="47" t="n">
        <v>8</v>
      </c>
      <c r="H276" s="52" t="n">
        <v>180</v>
      </c>
      <c r="I276" s="49" t="n">
        <v>0</v>
      </c>
      <c r="J276" s="52" t="n">
        <f aca="false">G276*H276*(1-I276)</f>
        <v>1440</v>
      </c>
      <c r="K276" s="49" t="n">
        <f aca="false">INDEX('🧮 Formulas'!$F$6:$F$8,MATCH(D276,'🧮 Formulas'!$E$6:$E$8,0))</f>
        <v>0.3</v>
      </c>
      <c r="L276" s="52" t="n">
        <f aca="false">J276*K276</f>
        <v>432</v>
      </c>
      <c r="M276" s="47" t="n">
        <f aca="false">MONTH(B276)</f>
        <v>12</v>
      </c>
      <c r="N276" s="47" t="str">
        <f aca="false">TEXT(B276,"mmm")</f>
        <v>Dec</v>
      </c>
    </row>
    <row r="277" customFormat="false" ht="15" hidden="false" customHeight="false" outlineLevel="0" collapsed="false">
      <c r="A277" s="47" t="s">
        <v>399</v>
      </c>
      <c r="B277" s="51" t="n">
        <v>45999</v>
      </c>
      <c r="C277" s="47" t="s">
        <v>65</v>
      </c>
      <c r="D277" s="47" t="s">
        <v>128</v>
      </c>
      <c r="E277" s="47" t="s">
        <v>144</v>
      </c>
      <c r="F277" s="47" t="s">
        <v>134</v>
      </c>
      <c r="G277" s="47" t="n">
        <v>6</v>
      </c>
      <c r="H277" s="52" t="n">
        <v>180</v>
      </c>
      <c r="I277" s="49" t="n">
        <v>0.05</v>
      </c>
      <c r="J277" s="52" t="n">
        <f aca="false">G277*H277*(1-I277)</f>
        <v>1026</v>
      </c>
      <c r="K277" s="49" t="n">
        <f aca="false">INDEX('🧮 Formulas'!$F$6:$F$8,MATCH(D277,'🧮 Formulas'!$E$6:$E$8,0))</f>
        <v>0.3</v>
      </c>
      <c r="L277" s="52" t="n">
        <f aca="false">J277*K277</f>
        <v>307.8</v>
      </c>
      <c r="M277" s="47" t="n">
        <f aca="false">MONTH(B277)</f>
        <v>12</v>
      </c>
      <c r="N277" s="47" t="str">
        <f aca="false">TEXT(B277,"mmm")</f>
        <v>Dec</v>
      </c>
    </row>
    <row r="278" customFormat="false" ht="15" hidden="false" customHeight="false" outlineLevel="0" collapsed="false">
      <c r="A278" s="47" t="s">
        <v>407</v>
      </c>
      <c r="B278" s="51" t="n">
        <v>46001</v>
      </c>
      <c r="C278" s="47" t="s">
        <v>68</v>
      </c>
      <c r="D278" s="47" t="s">
        <v>124</v>
      </c>
      <c r="E278" s="47" t="s">
        <v>146</v>
      </c>
      <c r="F278" s="47" t="s">
        <v>141</v>
      </c>
      <c r="G278" s="47" t="n">
        <v>3</v>
      </c>
      <c r="H278" s="52" t="n">
        <v>14000</v>
      </c>
      <c r="I278" s="49" t="n">
        <v>0.2</v>
      </c>
      <c r="J278" s="52" t="n">
        <f aca="false">G278*H278*(1-I278)</f>
        <v>33600</v>
      </c>
      <c r="K278" s="49" t="n">
        <f aca="false">INDEX('🧮 Formulas'!$F$6:$F$8,MATCH(D278,'🧮 Formulas'!$E$6:$E$8,0))</f>
        <v>0.18</v>
      </c>
      <c r="L278" s="52" t="n">
        <f aca="false">J278*K278</f>
        <v>6048</v>
      </c>
      <c r="M278" s="47" t="n">
        <f aca="false">MONTH(B278)</f>
        <v>12</v>
      </c>
      <c r="N278" s="47" t="str">
        <f aca="false">TEXT(B278,"mmm")</f>
        <v>Dec</v>
      </c>
    </row>
    <row r="279" customFormat="false" ht="15" hidden="false" customHeight="false" outlineLevel="0" collapsed="false">
      <c r="A279" s="47" t="s">
        <v>208</v>
      </c>
      <c r="B279" s="51" t="n">
        <v>46001</v>
      </c>
      <c r="C279" s="47" t="s">
        <v>65</v>
      </c>
      <c r="D279" s="47" t="s">
        <v>136</v>
      </c>
      <c r="E279" s="47" t="s">
        <v>139</v>
      </c>
      <c r="F279" s="47" t="s">
        <v>141</v>
      </c>
      <c r="G279" s="47" t="n">
        <v>2</v>
      </c>
      <c r="H279" s="52" t="n">
        <v>6500</v>
      </c>
      <c r="I279" s="49" t="n">
        <v>0.2</v>
      </c>
      <c r="J279" s="52" t="n">
        <f aca="false">G279*H279*(1-I279)</f>
        <v>10400</v>
      </c>
      <c r="K279" s="49" t="n">
        <f aca="false">INDEX('🧮 Formulas'!$F$6:$F$8,MATCH(D279,'🧮 Formulas'!$E$6:$E$8,0))</f>
        <v>0.22</v>
      </c>
      <c r="L279" s="52" t="n">
        <f aca="false">J279*K279</f>
        <v>2288</v>
      </c>
      <c r="M279" s="47" t="n">
        <f aca="false">MONTH(B279)</f>
        <v>12</v>
      </c>
      <c r="N279" s="47" t="str">
        <f aca="false">TEXT(B279,"mmm")</f>
        <v>Dec</v>
      </c>
    </row>
    <row r="280" customFormat="false" ht="15" hidden="false" customHeight="false" outlineLevel="0" collapsed="false">
      <c r="A280" s="47" t="s">
        <v>474</v>
      </c>
      <c r="B280" s="51" t="n">
        <v>46001</v>
      </c>
      <c r="C280" s="47" t="s">
        <v>68</v>
      </c>
      <c r="D280" s="47" t="s">
        <v>128</v>
      </c>
      <c r="E280" s="47" t="s">
        <v>129</v>
      </c>
      <c r="F280" s="47" t="s">
        <v>134</v>
      </c>
      <c r="G280" s="47" t="n">
        <v>3</v>
      </c>
      <c r="H280" s="52" t="n">
        <v>120</v>
      </c>
      <c r="I280" s="49" t="n">
        <v>0.15</v>
      </c>
      <c r="J280" s="52" t="n">
        <f aca="false">G280*H280*(1-I280)</f>
        <v>306</v>
      </c>
      <c r="K280" s="49" t="n">
        <f aca="false">INDEX('🧮 Formulas'!$F$6:$F$8,MATCH(D280,'🧮 Formulas'!$E$6:$E$8,0))</f>
        <v>0.3</v>
      </c>
      <c r="L280" s="52" t="n">
        <f aca="false">J280*K280</f>
        <v>91.8</v>
      </c>
      <c r="M280" s="47" t="n">
        <f aca="false">MONTH(B280)</f>
        <v>12</v>
      </c>
      <c r="N280" s="47" t="str">
        <f aca="false">TEXT(B280,"mmm")</f>
        <v>Dec</v>
      </c>
    </row>
    <row r="281" customFormat="false" ht="15" hidden="false" customHeight="false" outlineLevel="0" collapsed="false">
      <c r="A281" s="47" t="s">
        <v>292</v>
      </c>
      <c r="B281" s="51" t="n">
        <v>46003</v>
      </c>
      <c r="C281" s="47" t="s">
        <v>66</v>
      </c>
      <c r="D281" s="47" t="s">
        <v>128</v>
      </c>
      <c r="E281" s="47" t="s">
        <v>155</v>
      </c>
      <c r="F281" s="47" t="s">
        <v>134</v>
      </c>
      <c r="G281" s="47" t="n">
        <v>3</v>
      </c>
      <c r="H281" s="52" t="n">
        <v>250</v>
      </c>
      <c r="I281" s="49" t="n">
        <v>0</v>
      </c>
      <c r="J281" s="52" t="n">
        <f aca="false">G281*H281*(1-I281)</f>
        <v>750</v>
      </c>
      <c r="K281" s="49" t="n">
        <f aca="false">INDEX('🧮 Formulas'!$F$6:$F$8,MATCH(D281,'🧮 Formulas'!$E$6:$E$8,0))</f>
        <v>0.3</v>
      </c>
      <c r="L281" s="52" t="n">
        <f aca="false">J281*K281</f>
        <v>225</v>
      </c>
      <c r="M281" s="47" t="n">
        <f aca="false">MONTH(B281)</f>
        <v>12</v>
      </c>
      <c r="N281" s="47" t="str">
        <f aca="false">TEXT(B281,"mmm")</f>
        <v>Dec</v>
      </c>
    </row>
    <row r="282" customFormat="false" ht="15" hidden="false" customHeight="false" outlineLevel="0" collapsed="false">
      <c r="A282" s="47" t="s">
        <v>397</v>
      </c>
      <c r="B282" s="51" t="n">
        <v>46005</v>
      </c>
      <c r="C282" s="47" t="s">
        <v>68</v>
      </c>
      <c r="D282" s="47" t="s">
        <v>136</v>
      </c>
      <c r="E282" s="47" t="s">
        <v>160</v>
      </c>
      <c r="F282" s="47" t="s">
        <v>141</v>
      </c>
      <c r="G282" s="47" t="n">
        <v>3</v>
      </c>
      <c r="H282" s="52" t="n">
        <v>8500</v>
      </c>
      <c r="I282" s="49" t="n">
        <v>0.2</v>
      </c>
      <c r="J282" s="52" t="n">
        <f aca="false">G282*H282*(1-I282)</f>
        <v>20400</v>
      </c>
      <c r="K282" s="49" t="n">
        <f aca="false">INDEX('🧮 Formulas'!$F$6:$F$8,MATCH(D282,'🧮 Formulas'!$E$6:$E$8,0))</f>
        <v>0.22</v>
      </c>
      <c r="L282" s="52" t="n">
        <f aca="false">J282*K282</f>
        <v>4488</v>
      </c>
      <c r="M282" s="47" t="n">
        <f aca="false">MONTH(B282)</f>
        <v>12</v>
      </c>
      <c r="N282" s="47" t="str">
        <f aca="false">TEXT(B282,"mmm")</f>
        <v>Dec</v>
      </c>
    </row>
    <row r="283" customFormat="false" ht="15" hidden="false" customHeight="false" outlineLevel="0" collapsed="false">
      <c r="A283" s="47" t="s">
        <v>308</v>
      </c>
      <c r="B283" s="51" t="n">
        <v>46006</v>
      </c>
      <c r="C283" s="47" t="s">
        <v>65</v>
      </c>
      <c r="D283" s="47" t="s">
        <v>136</v>
      </c>
      <c r="E283" s="47" t="s">
        <v>139</v>
      </c>
      <c r="F283" s="47" t="s">
        <v>126</v>
      </c>
      <c r="G283" s="47" t="n">
        <v>5</v>
      </c>
      <c r="H283" s="52" t="n">
        <v>6500</v>
      </c>
      <c r="I283" s="49" t="n">
        <v>0</v>
      </c>
      <c r="J283" s="52" t="n">
        <f aca="false">G283*H283*(1-I283)</f>
        <v>32500</v>
      </c>
      <c r="K283" s="49" t="n">
        <f aca="false">INDEX('🧮 Formulas'!$F$6:$F$8,MATCH(D283,'🧮 Formulas'!$E$6:$E$8,0))</f>
        <v>0.22</v>
      </c>
      <c r="L283" s="52" t="n">
        <f aca="false">J283*K283</f>
        <v>7150</v>
      </c>
      <c r="M283" s="47" t="n">
        <f aca="false">MONTH(B283)</f>
        <v>12</v>
      </c>
      <c r="N283" s="47" t="str">
        <f aca="false">TEXT(B283,"mmm")</f>
        <v>Dec</v>
      </c>
    </row>
    <row r="284" customFormat="false" ht="15" hidden="false" customHeight="false" outlineLevel="0" collapsed="false">
      <c r="A284" s="47" t="s">
        <v>266</v>
      </c>
      <c r="B284" s="51" t="n">
        <v>46006</v>
      </c>
      <c r="C284" s="47" t="s">
        <v>66</v>
      </c>
      <c r="D284" s="47" t="s">
        <v>128</v>
      </c>
      <c r="E284" s="47" t="s">
        <v>144</v>
      </c>
      <c r="F284" s="47" t="s">
        <v>126</v>
      </c>
      <c r="G284" s="47" t="n">
        <v>7</v>
      </c>
      <c r="H284" s="52" t="n">
        <v>180</v>
      </c>
      <c r="I284" s="49" t="n">
        <v>0.15</v>
      </c>
      <c r="J284" s="52" t="n">
        <f aca="false">G284*H284*(1-I284)</f>
        <v>1071</v>
      </c>
      <c r="K284" s="49" t="n">
        <f aca="false">INDEX('🧮 Formulas'!$F$6:$F$8,MATCH(D284,'🧮 Formulas'!$E$6:$E$8,0))</f>
        <v>0.3</v>
      </c>
      <c r="L284" s="52" t="n">
        <f aca="false">J284*K284</f>
        <v>321.3</v>
      </c>
      <c r="M284" s="47" t="n">
        <f aca="false">MONTH(B284)</f>
        <v>12</v>
      </c>
      <c r="N284" s="47" t="str">
        <f aca="false">TEXT(B284,"mmm")</f>
        <v>Dec</v>
      </c>
    </row>
    <row r="285" customFormat="false" ht="15" hidden="false" customHeight="false" outlineLevel="0" collapsed="false">
      <c r="A285" s="47" t="s">
        <v>274</v>
      </c>
      <c r="B285" s="51" t="n">
        <v>46008</v>
      </c>
      <c r="C285" s="47" t="s">
        <v>67</v>
      </c>
      <c r="D285" s="47" t="s">
        <v>128</v>
      </c>
      <c r="E285" s="47" t="s">
        <v>149</v>
      </c>
      <c r="F285" s="47" t="s">
        <v>126</v>
      </c>
      <c r="G285" s="47" t="n">
        <v>12</v>
      </c>
      <c r="H285" s="52" t="n">
        <v>450</v>
      </c>
      <c r="I285" s="49" t="n">
        <v>0.2</v>
      </c>
      <c r="J285" s="52" t="n">
        <f aca="false">G285*H285*(1-I285)</f>
        <v>4320</v>
      </c>
      <c r="K285" s="49" t="n">
        <f aca="false">INDEX('🧮 Formulas'!$F$6:$F$8,MATCH(D285,'🧮 Formulas'!$E$6:$E$8,0))</f>
        <v>0.3</v>
      </c>
      <c r="L285" s="52" t="n">
        <f aca="false">J285*K285</f>
        <v>1296</v>
      </c>
      <c r="M285" s="47" t="n">
        <f aca="false">MONTH(B285)</f>
        <v>12</v>
      </c>
      <c r="N285" s="47" t="str">
        <f aca="false">TEXT(B285,"mmm")</f>
        <v>Dec</v>
      </c>
    </row>
    <row r="286" customFormat="false" ht="15" hidden="false" customHeight="false" outlineLevel="0" collapsed="false">
      <c r="A286" s="47" t="s">
        <v>178</v>
      </c>
      <c r="B286" s="51" t="n">
        <v>46009</v>
      </c>
      <c r="C286" s="47" t="s">
        <v>66</v>
      </c>
      <c r="D286" s="47" t="s">
        <v>128</v>
      </c>
      <c r="E286" s="47" t="s">
        <v>144</v>
      </c>
      <c r="F286" s="47" t="s">
        <v>134</v>
      </c>
      <c r="G286" s="47" t="n">
        <v>3</v>
      </c>
      <c r="H286" s="52" t="n">
        <v>180</v>
      </c>
      <c r="I286" s="49" t="n">
        <v>0.2</v>
      </c>
      <c r="J286" s="52" t="n">
        <f aca="false">G286*H286*(1-I286)</f>
        <v>432</v>
      </c>
      <c r="K286" s="49" t="n">
        <f aca="false">INDEX('🧮 Formulas'!$F$6:$F$8,MATCH(D286,'🧮 Formulas'!$E$6:$E$8,0))</f>
        <v>0.3</v>
      </c>
      <c r="L286" s="52" t="n">
        <f aca="false">J286*K286</f>
        <v>129.6</v>
      </c>
      <c r="M286" s="47" t="n">
        <f aca="false">MONTH(B286)</f>
        <v>12</v>
      </c>
      <c r="N286" s="47" t="str">
        <f aca="false">TEXT(B286,"mmm")</f>
        <v>Dec</v>
      </c>
    </row>
    <row r="287" customFormat="false" ht="15" hidden="false" customHeight="false" outlineLevel="0" collapsed="false">
      <c r="A287" s="47" t="s">
        <v>425</v>
      </c>
      <c r="B287" s="51" t="n">
        <v>46009</v>
      </c>
      <c r="C287" s="47" t="s">
        <v>68</v>
      </c>
      <c r="D287" s="47" t="s">
        <v>128</v>
      </c>
      <c r="E287" s="47" t="s">
        <v>155</v>
      </c>
      <c r="F287" s="47" t="s">
        <v>126</v>
      </c>
      <c r="G287" s="47" t="n">
        <v>4</v>
      </c>
      <c r="H287" s="52" t="n">
        <v>250</v>
      </c>
      <c r="I287" s="49" t="n">
        <v>0</v>
      </c>
      <c r="J287" s="52" t="n">
        <f aca="false">G287*H287*(1-I287)</f>
        <v>1000</v>
      </c>
      <c r="K287" s="49" t="n">
        <f aca="false">INDEX('🧮 Formulas'!$F$6:$F$8,MATCH(D287,'🧮 Formulas'!$E$6:$E$8,0))</f>
        <v>0.3</v>
      </c>
      <c r="L287" s="52" t="n">
        <f aca="false">J287*K287</f>
        <v>300</v>
      </c>
      <c r="M287" s="47" t="n">
        <f aca="false">MONTH(B287)</f>
        <v>12</v>
      </c>
      <c r="N287" s="47" t="str">
        <f aca="false">TEXT(B287,"mmm")</f>
        <v>Dec</v>
      </c>
    </row>
    <row r="288" customFormat="false" ht="15" hidden="false" customHeight="false" outlineLevel="0" collapsed="false">
      <c r="A288" s="47" t="s">
        <v>426</v>
      </c>
      <c r="B288" s="51" t="n">
        <v>46010</v>
      </c>
      <c r="C288" s="47" t="s">
        <v>65</v>
      </c>
      <c r="D288" s="47" t="s">
        <v>124</v>
      </c>
      <c r="E288" s="47" t="s">
        <v>146</v>
      </c>
      <c r="F288" s="47" t="s">
        <v>141</v>
      </c>
      <c r="G288" s="47" t="n">
        <v>3</v>
      </c>
      <c r="H288" s="52" t="n">
        <v>14000</v>
      </c>
      <c r="I288" s="49" t="n">
        <v>0.1</v>
      </c>
      <c r="J288" s="52" t="n">
        <f aca="false">G288*H288*(1-I288)</f>
        <v>37800</v>
      </c>
      <c r="K288" s="49" t="n">
        <f aca="false">INDEX('🧮 Formulas'!$F$6:$F$8,MATCH(D288,'🧮 Formulas'!$E$6:$E$8,0))</f>
        <v>0.18</v>
      </c>
      <c r="L288" s="52" t="n">
        <f aca="false">J288*K288</f>
        <v>6804</v>
      </c>
      <c r="M288" s="47" t="n">
        <f aca="false">MONTH(B288)</f>
        <v>12</v>
      </c>
      <c r="N288" s="47" t="str">
        <f aca="false">TEXT(B288,"mmm")</f>
        <v>Dec</v>
      </c>
    </row>
    <row r="289" customFormat="false" ht="15" hidden="false" customHeight="false" outlineLevel="0" collapsed="false">
      <c r="A289" s="47" t="s">
        <v>464</v>
      </c>
      <c r="B289" s="51" t="n">
        <v>46011</v>
      </c>
      <c r="C289" s="47" t="s">
        <v>67</v>
      </c>
      <c r="D289" s="47" t="s">
        <v>128</v>
      </c>
      <c r="E289" s="47" t="s">
        <v>155</v>
      </c>
      <c r="F289" s="47" t="s">
        <v>126</v>
      </c>
      <c r="G289" s="47" t="n">
        <v>2</v>
      </c>
      <c r="H289" s="52" t="n">
        <v>250</v>
      </c>
      <c r="I289" s="49" t="n">
        <v>0.1</v>
      </c>
      <c r="J289" s="52" t="n">
        <f aca="false">G289*H289*(1-I289)</f>
        <v>450</v>
      </c>
      <c r="K289" s="49" t="n">
        <f aca="false">INDEX('🧮 Formulas'!$F$6:$F$8,MATCH(D289,'🧮 Formulas'!$E$6:$E$8,0))</f>
        <v>0.3</v>
      </c>
      <c r="L289" s="52" t="n">
        <f aca="false">J289*K289</f>
        <v>135</v>
      </c>
      <c r="M289" s="47" t="n">
        <f aca="false">MONTH(B289)</f>
        <v>12</v>
      </c>
      <c r="N289" s="47" t="str">
        <f aca="false">TEXT(B289,"mmm")</f>
        <v>Dec</v>
      </c>
    </row>
    <row r="290" customFormat="false" ht="15" hidden="false" customHeight="false" outlineLevel="0" collapsed="false">
      <c r="A290" s="47" t="s">
        <v>140</v>
      </c>
      <c r="B290" s="51" t="n">
        <v>46013</v>
      </c>
      <c r="C290" s="47" t="s">
        <v>66</v>
      </c>
      <c r="D290" s="47" t="s">
        <v>124</v>
      </c>
      <c r="E290" s="47" t="s">
        <v>133</v>
      </c>
      <c r="F290" s="47" t="s">
        <v>141</v>
      </c>
      <c r="G290" s="47" t="n">
        <v>4</v>
      </c>
      <c r="H290" s="52" t="n">
        <v>22000</v>
      </c>
      <c r="I290" s="49" t="n">
        <v>0</v>
      </c>
      <c r="J290" s="52" t="n">
        <f aca="false">G290*H290*(1-I290)</f>
        <v>88000</v>
      </c>
      <c r="K290" s="49" t="n">
        <f aca="false">INDEX('🧮 Formulas'!$F$6:$F$8,MATCH(D290,'🧮 Formulas'!$E$6:$E$8,0))</f>
        <v>0.18</v>
      </c>
      <c r="L290" s="52" t="n">
        <f aca="false">J290*K290</f>
        <v>15840</v>
      </c>
      <c r="M290" s="47" t="n">
        <f aca="false">MONTH(B290)</f>
        <v>12</v>
      </c>
      <c r="N290" s="47" t="str">
        <f aca="false">TEXT(B290,"mmm")</f>
        <v>Dec</v>
      </c>
    </row>
    <row r="291" customFormat="false" ht="15" hidden="false" customHeight="false" outlineLevel="0" collapsed="false">
      <c r="A291" s="47" t="s">
        <v>186</v>
      </c>
      <c r="B291" s="51" t="n">
        <v>46014</v>
      </c>
      <c r="C291" s="47" t="s">
        <v>68</v>
      </c>
      <c r="D291" s="47" t="s">
        <v>128</v>
      </c>
      <c r="E291" s="47" t="s">
        <v>149</v>
      </c>
      <c r="F291" s="47" t="s">
        <v>134</v>
      </c>
      <c r="G291" s="47" t="n">
        <v>13</v>
      </c>
      <c r="H291" s="52" t="n">
        <v>450</v>
      </c>
      <c r="I291" s="49" t="n">
        <v>0.1</v>
      </c>
      <c r="J291" s="52" t="n">
        <f aca="false">G291*H291*(1-I291)</f>
        <v>5265</v>
      </c>
      <c r="K291" s="49" t="n">
        <f aca="false">INDEX('🧮 Formulas'!$F$6:$F$8,MATCH(D291,'🧮 Formulas'!$E$6:$E$8,0))</f>
        <v>0.3</v>
      </c>
      <c r="L291" s="52" t="n">
        <f aca="false">J291*K291</f>
        <v>1579.5</v>
      </c>
      <c r="M291" s="47" t="n">
        <f aca="false">MONTH(B291)</f>
        <v>12</v>
      </c>
      <c r="N291" s="47" t="str">
        <f aca="false">TEXT(B291,"mmm")</f>
        <v>Dec</v>
      </c>
    </row>
    <row r="292" customFormat="false" ht="15" hidden="false" customHeight="false" outlineLevel="0" collapsed="false">
      <c r="A292" s="47" t="s">
        <v>259</v>
      </c>
      <c r="B292" s="51" t="n">
        <v>46014</v>
      </c>
      <c r="C292" s="47" t="s">
        <v>67</v>
      </c>
      <c r="D292" s="47" t="s">
        <v>124</v>
      </c>
      <c r="E292" s="47" t="s">
        <v>133</v>
      </c>
      <c r="F292" s="47" t="s">
        <v>141</v>
      </c>
      <c r="G292" s="47" t="n">
        <v>1</v>
      </c>
      <c r="H292" s="52" t="n">
        <v>22000</v>
      </c>
      <c r="I292" s="49" t="n">
        <v>0.15</v>
      </c>
      <c r="J292" s="52" t="n">
        <f aca="false">G292*H292*(1-I292)</f>
        <v>18700</v>
      </c>
      <c r="K292" s="49" t="n">
        <f aca="false">INDEX('🧮 Formulas'!$F$6:$F$8,MATCH(D292,'🧮 Formulas'!$E$6:$E$8,0))</f>
        <v>0.18</v>
      </c>
      <c r="L292" s="52" t="n">
        <f aca="false">J292*K292</f>
        <v>3366</v>
      </c>
      <c r="M292" s="47" t="n">
        <f aca="false">MONTH(B292)</f>
        <v>12</v>
      </c>
      <c r="N292" s="47" t="str">
        <f aca="false">TEXT(B292,"mmm")</f>
        <v>Dec</v>
      </c>
    </row>
    <row r="293" customFormat="false" ht="15" hidden="false" customHeight="false" outlineLevel="0" collapsed="false">
      <c r="A293" s="47" t="s">
        <v>448</v>
      </c>
      <c r="B293" s="51" t="n">
        <v>46015</v>
      </c>
      <c r="C293" s="47" t="s">
        <v>68</v>
      </c>
      <c r="D293" s="47" t="s">
        <v>136</v>
      </c>
      <c r="E293" s="47" t="s">
        <v>160</v>
      </c>
      <c r="F293" s="47" t="s">
        <v>134</v>
      </c>
      <c r="G293" s="47" t="n">
        <v>2</v>
      </c>
      <c r="H293" s="52" t="n">
        <v>8500</v>
      </c>
      <c r="I293" s="49" t="n">
        <v>0.05</v>
      </c>
      <c r="J293" s="52" t="n">
        <f aca="false">G293*H293*(1-I293)</f>
        <v>16150</v>
      </c>
      <c r="K293" s="49" t="n">
        <f aca="false">INDEX('🧮 Formulas'!$F$6:$F$8,MATCH(D293,'🧮 Formulas'!$E$6:$E$8,0))</f>
        <v>0.22</v>
      </c>
      <c r="L293" s="52" t="n">
        <f aca="false">J293*K293</f>
        <v>3553</v>
      </c>
      <c r="M293" s="47" t="n">
        <f aca="false">MONTH(B293)</f>
        <v>12</v>
      </c>
      <c r="N293" s="47" t="str">
        <f aca="false">TEXT(B293,"mmm")</f>
        <v>Dec</v>
      </c>
    </row>
    <row r="294" customFormat="false" ht="15" hidden="false" customHeight="false" outlineLevel="0" collapsed="false">
      <c r="A294" s="47" t="s">
        <v>357</v>
      </c>
      <c r="B294" s="51" t="n">
        <v>46017</v>
      </c>
      <c r="C294" s="47" t="s">
        <v>65</v>
      </c>
      <c r="D294" s="47" t="s">
        <v>128</v>
      </c>
      <c r="E294" s="47" t="s">
        <v>129</v>
      </c>
      <c r="F294" s="47" t="s">
        <v>141</v>
      </c>
      <c r="G294" s="47" t="n">
        <v>14</v>
      </c>
      <c r="H294" s="52" t="n">
        <v>120</v>
      </c>
      <c r="I294" s="49" t="n">
        <v>0.2</v>
      </c>
      <c r="J294" s="52" t="n">
        <f aca="false">G294*H294*(1-I294)</f>
        <v>1344</v>
      </c>
      <c r="K294" s="49" t="n">
        <f aca="false">INDEX('🧮 Formulas'!$F$6:$F$8,MATCH(D294,'🧮 Formulas'!$E$6:$E$8,0))</f>
        <v>0.3</v>
      </c>
      <c r="L294" s="52" t="n">
        <f aca="false">J294*K294</f>
        <v>403.2</v>
      </c>
      <c r="M294" s="47" t="n">
        <f aca="false">MONTH(B294)</f>
        <v>12</v>
      </c>
      <c r="N294" s="47" t="str">
        <f aca="false">TEXT(B294,"mmm")</f>
        <v>Dec</v>
      </c>
    </row>
    <row r="295" customFormat="false" ht="15" hidden="false" customHeight="false" outlineLevel="0" collapsed="false">
      <c r="A295" s="47" t="s">
        <v>427</v>
      </c>
      <c r="B295" s="51" t="n">
        <v>46022</v>
      </c>
      <c r="C295" s="47" t="s">
        <v>66</v>
      </c>
      <c r="D295" s="47" t="s">
        <v>124</v>
      </c>
      <c r="E295" s="47" t="s">
        <v>125</v>
      </c>
      <c r="F295" s="47" t="s">
        <v>134</v>
      </c>
      <c r="G295" s="47" t="n">
        <v>2</v>
      </c>
      <c r="H295" s="52" t="n">
        <v>3500</v>
      </c>
      <c r="I295" s="49" t="n">
        <v>0.15</v>
      </c>
      <c r="J295" s="52" t="n">
        <f aca="false">G295*H295*(1-I295)</f>
        <v>5950</v>
      </c>
      <c r="K295" s="49" t="n">
        <f aca="false">INDEX('🧮 Formulas'!$F$6:$F$8,MATCH(D295,'🧮 Formulas'!$E$6:$E$8,0))</f>
        <v>0.18</v>
      </c>
      <c r="L295" s="52" t="n">
        <f aca="false">J295*K295</f>
        <v>1071</v>
      </c>
      <c r="M295" s="47" t="n">
        <f aca="false">MONTH(B295)</f>
        <v>12</v>
      </c>
      <c r="N295" s="47" t="str">
        <f aca="false">TEXT(B295,"mmm")</f>
        <v>Dec</v>
      </c>
    </row>
  </sheetData>
  <autoFilter ref="A1:N295"/>
  <mergeCells count="1">
    <mergeCell ref="P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55" t="s">
        <v>489</v>
      </c>
      <c r="B1" s="55"/>
      <c r="C1" s="55"/>
      <c r="D1" s="55"/>
      <c r="E1" s="55"/>
      <c r="F1" s="55"/>
      <c r="G1" s="55"/>
    </row>
    <row r="2" customFormat="false" ht="15" hidden="false" customHeight="false" outlineLevel="0" collapsed="false">
      <c r="A2" s="8" t="s">
        <v>490</v>
      </c>
    </row>
    <row r="4" customFormat="false" ht="15" hidden="false" customHeight="false" outlineLevel="0" collapsed="false">
      <c r="A4" s="31" t="s">
        <v>491</v>
      </c>
    </row>
    <row r="5" customFormat="false" ht="15" hidden="false" customHeight="false" outlineLevel="0" collapsed="false">
      <c r="A5" s="56" t="s">
        <v>64</v>
      </c>
      <c r="B5" s="56" t="s">
        <v>492</v>
      </c>
      <c r="C5" s="56" t="s">
        <v>120</v>
      </c>
      <c r="D5" s="56" t="s">
        <v>59</v>
      </c>
      <c r="E5" s="56" t="s">
        <v>60</v>
      </c>
      <c r="F5" s="56" t="s">
        <v>493</v>
      </c>
      <c r="G5" s="56" t="s">
        <v>494</v>
      </c>
    </row>
    <row r="6" customFormat="false" ht="15" hidden="false" customHeight="false" outlineLevel="0" collapsed="false">
      <c r="A6" s="11" t="s">
        <v>65</v>
      </c>
      <c r="B6" s="57" t="n">
        <f aca="true">COUNTIFS(Dyn_Region,$A6)</f>
        <v>69</v>
      </c>
      <c r="C6" s="57" t="n">
        <f aca="true">SUMIFS(Dyn_Qty,Dyn_Region,$A6)</f>
        <v>339</v>
      </c>
      <c r="D6" s="35" t="n">
        <f aca="true">SUMIFS(Dyn_Sales,Dyn_Region,$A6)</f>
        <v>1922759.5</v>
      </c>
      <c r="E6" s="35" t="n">
        <f aca="true">SUMIFS(Dyn_Profit,Dyn_Region,$A6)</f>
        <v>369213.65</v>
      </c>
      <c r="F6" s="58" t="n">
        <f aca="false">D6/D$10</f>
        <v>0.295162475566992</v>
      </c>
      <c r="G6" s="35" t="n">
        <f aca="false">IFERROR(D6/B6,0)</f>
        <v>27866.0797101449</v>
      </c>
    </row>
    <row r="7" customFormat="false" ht="15" hidden="false" customHeight="false" outlineLevel="0" collapsed="false">
      <c r="A7" s="11" t="s">
        <v>66</v>
      </c>
      <c r="B7" s="57" t="n">
        <f aca="true">COUNTIFS(Dyn_Region,$A7)</f>
        <v>68</v>
      </c>
      <c r="C7" s="57" t="n">
        <f aca="true">SUMIFS(Dyn_Qty,Dyn_Region,$A7)</f>
        <v>314</v>
      </c>
      <c r="D7" s="35" t="n">
        <f aca="true">SUMIFS(Dyn_Sales,Dyn_Region,$A7)</f>
        <v>1387188</v>
      </c>
      <c r="E7" s="35" t="n">
        <f aca="true">SUMIFS(Dyn_Profit,Dyn_Region,$A7)</f>
        <v>274524.4</v>
      </c>
      <c r="F7" s="58" t="n">
        <f aca="false">D7/D$10</f>
        <v>0.212946987991387</v>
      </c>
      <c r="G7" s="35" t="n">
        <f aca="false">IFERROR(D7/B7,0)</f>
        <v>20399.8235294118</v>
      </c>
    </row>
    <row r="8" customFormat="false" ht="15" hidden="false" customHeight="false" outlineLevel="0" collapsed="false">
      <c r="A8" s="11" t="s">
        <v>67</v>
      </c>
      <c r="B8" s="57" t="n">
        <f aca="true">COUNTIFS(Dyn_Region,$A8)</f>
        <v>79</v>
      </c>
      <c r="C8" s="57" t="n">
        <f aca="true">SUMIFS(Dyn_Qty,Dyn_Region,$A8)</f>
        <v>434</v>
      </c>
      <c r="D8" s="35" t="n">
        <f aca="true">SUMIFS(Dyn_Sales,Dyn_Region,$A8)</f>
        <v>1495776.5</v>
      </c>
      <c r="E8" s="35" t="n">
        <f aca="true">SUMIFS(Dyn_Profit,Dyn_Region,$A8)</f>
        <v>294902.55</v>
      </c>
      <c r="F8" s="58" t="n">
        <f aca="false">D8/D$10</f>
        <v>0.229616389691447</v>
      </c>
      <c r="G8" s="35" t="n">
        <f aca="false">IFERROR(D8/B8,0)</f>
        <v>18933.8797468354</v>
      </c>
    </row>
    <row r="9" customFormat="false" ht="15" hidden="false" customHeight="false" outlineLevel="0" collapsed="false">
      <c r="A9" s="11" t="s">
        <v>68</v>
      </c>
      <c r="B9" s="57" t="n">
        <f aca="true">COUNTIFS(Dyn_Region,$A9)</f>
        <v>78</v>
      </c>
      <c r="C9" s="57" t="n">
        <f aca="true">SUMIFS(Dyn_Qty,Dyn_Region,$A9)</f>
        <v>409</v>
      </c>
      <c r="D9" s="35" t="n">
        <f aca="true">SUMIFS(Dyn_Sales,Dyn_Region,$A9)</f>
        <v>1708517</v>
      </c>
      <c r="E9" s="35" t="n">
        <f aca="true">SUMIFS(Dyn_Profit,Dyn_Region,$A9)</f>
        <v>326923.1</v>
      </c>
      <c r="F9" s="58" t="n">
        <f aca="false">D9/D$10</f>
        <v>0.262274146750174</v>
      </c>
      <c r="G9" s="35" t="n">
        <f aca="false">IFERROR(D9/B9,0)</f>
        <v>21904.0641025641</v>
      </c>
    </row>
    <row r="10" customFormat="false" ht="15" hidden="false" customHeight="false" outlineLevel="0" collapsed="false">
      <c r="A10" s="41" t="s">
        <v>113</v>
      </c>
      <c r="B10" s="59" t="n">
        <f aca="false">SUM(B6:B9)</f>
        <v>294</v>
      </c>
      <c r="C10" s="59" t="n">
        <f aca="false">SUM(C6:C9)</f>
        <v>1496</v>
      </c>
      <c r="D10" s="60" t="n">
        <f aca="false">SUM(D6:D9)</f>
        <v>6514241</v>
      </c>
      <c r="E10" s="60" t="n">
        <f aca="false">SUM(E6:E9)</f>
        <v>1265563.7</v>
      </c>
      <c r="F10" s="61" t="n">
        <f aca="false">SUM(F6:F9)</f>
        <v>1</v>
      </c>
      <c r="G10" s="60" t="n">
        <f aca="false">IFERROR(D10/B10,0)</f>
        <v>22157.2823129252</v>
      </c>
    </row>
    <row r="13" customFormat="false" ht="15" hidden="false" customHeight="false" outlineLevel="0" collapsed="false">
      <c r="A13" s="31" t="s">
        <v>495</v>
      </c>
    </row>
    <row r="14" customFormat="false" ht="15" hidden="false" customHeight="false" outlineLevel="0" collapsed="false">
      <c r="A14" s="56" t="s">
        <v>62</v>
      </c>
      <c r="B14" s="56" t="s">
        <v>65</v>
      </c>
      <c r="C14" s="56" t="s">
        <v>66</v>
      </c>
      <c r="D14" s="56" t="s">
        <v>67</v>
      </c>
      <c r="E14" s="56" t="s">
        <v>68</v>
      </c>
      <c r="F14" s="56" t="s">
        <v>113</v>
      </c>
    </row>
    <row r="15" customFormat="false" ht="15" hidden="false" customHeight="false" outlineLevel="0" collapsed="false">
      <c r="A15" s="11" t="s">
        <v>124</v>
      </c>
      <c r="B15" s="35" t="n">
        <f aca="true">SUMIFS(Dyn_Sales,Dyn_Category,$A15,Dyn_Region,B$14)</f>
        <v>1433975</v>
      </c>
      <c r="C15" s="35" t="n">
        <f aca="true">SUMIFS(Dyn_Sales,Dyn_Category,$A15,Dyn_Region,C$14)</f>
        <v>864500</v>
      </c>
      <c r="D15" s="35" t="n">
        <f aca="true">SUMIFS(Dyn_Sales,Dyn_Category,$A15,Dyn_Region,D$14)</f>
        <v>1006600</v>
      </c>
      <c r="E15" s="35" t="n">
        <f aca="true">SUMIFS(Dyn_Sales,Dyn_Category,$A15,Dyn_Region,E$14)</f>
        <v>1351650</v>
      </c>
      <c r="F15" s="62" t="n">
        <f aca="false">SUM(B15:E15)</f>
        <v>4656725</v>
      </c>
    </row>
    <row r="16" customFormat="false" ht="15" hidden="false" customHeight="false" outlineLevel="0" collapsed="false">
      <c r="A16" s="11" t="s">
        <v>136</v>
      </c>
      <c r="B16" s="35" t="n">
        <f aca="true">SUMIFS(Dyn_Sales,Dyn_Category,$A16,Dyn_Region,B$14)</f>
        <v>444215</v>
      </c>
      <c r="C16" s="35" t="n">
        <f aca="true">SUMIFS(Dyn_Sales,Dyn_Category,$A16,Dyn_Region,C$14)</f>
        <v>473650</v>
      </c>
      <c r="D16" s="35" t="n">
        <f aca="true">SUMIFS(Dyn_Sales,Dyn_Category,$A16,Dyn_Region,D$14)</f>
        <v>412980</v>
      </c>
      <c r="E16" s="35" t="n">
        <f aca="true">SUMIFS(Dyn_Sales,Dyn_Category,$A16,Dyn_Region,E$14)</f>
        <v>292925</v>
      </c>
      <c r="F16" s="62" t="n">
        <f aca="false">SUM(B16:E16)</f>
        <v>1623770</v>
      </c>
    </row>
    <row r="17" customFormat="false" ht="15" hidden="false" customHeight="false" outlineLevel="0" collapsed="false">
      <c r="A17" s="11" t="s">
        <v>128</v>
      </c>
      <c r="B17" s="35" t="n">
        <f aca="true">SUMIFS(Dyn_Sales,Dyn_Category,$A17,Dyn_Region,B$14)</f>
        <v>44569.5</v>
      </c>
      <c r="C17" s="35" t="n">
        <f aca="true">SUMIFS(Dyn_Sales,Dyn_Category,$A17,Dyn_Region,C$14)</f>
        <v>49038</v>
      </c>
      <c r="D17" s="35" t="n">
        <f aca="true">SUMIFS(Dyn_Sales,Dyn_Category,$A17,Dyn_Region,D$14)</f>
        <v>76196.5</v>
      </c>
      <c r="E17" s="35" t="n">
        <f aca="true">SUMIFS(Dyn_Sales,Dyn_Category,$A17,Dyn_Region,E$14)</f>
        <v>63942</v>
      </c>
      <c r="F17" s="62" t="n">
        <f aca="false">SUM(B17:E17)</f>
        <v>233746</v>
      </c>
    </row>
    <row r="18" customFormat="false" ht="15" hidden="false" customHeight="false" outlineLevel="0" collapsed="false">
      <c r="A18" s="41" t="s">
        <v>113</v>
      </c>
      <c r="B18" s="60" t="n">
        <f aca="false">SUM(B15:B17)</f>
        <v>1922759.5</v>
      </c>
      <c r="C18" s="60" t="n">
        <f aca="false">SUM(C15:C17)</f>
        <v>1387188</v>
      </c>
      <c r="D18" s="60" t="n">
        <f aca="false">SUM(D15:D17)</f>
        <v>1495776.5</v>
      </c>
      <c r="E18" s="60" t="n">
        <f aca="false">SUM(E15:E17)</f>
        <v>1708517</v>
      </c>
      <c r="F18" s="60" t="n">
        <f aca="false">SUM(F15:F17)</f>
        <v>6514241</v>
      </c>
    </row>
    <row r="21" customFormat="false" ht="15" hidden="false" customHeight="false" outlineLevel="0" collapsed="false">
      <c r="A21" s="31" t="s">
        <v>496</v>
      </c>
    </row>
    <row r="22" customFormat="false" ht="15" hidden="false" customHeight="false" outlineLevel="0" collapsed="false">
      <c r="A22" s="56" t="s">
        <v>479</v>
      </c>
      <c r="B22" s="56" t="s">
        <v>58</v>
      </c>
      <c r="C22" s="56" t="s">
        <v>59</v>
      </c>
      <c r="D22" s="56" t="s">
        <v>60</v>
      </c>
      <c r="E22" s="56" t="s">
        <v>492</v>
      </c>
      <c r="F22" s="56" t="s">
        <v>497</v>
      </c>
    </row>
    <row r="23" customFormat="false" ht="15" hidden="false" customHeight="false" outlineLevel="0" collapsed="false">
      <c r="A23" s="34" t="n">
        <v>1</v>
      </c>
      <c r="B23" s="34" t="str">
        <f aca="false">TEXT(DATE(2025,A23,1),"mmm")</f>
        <v>Jan</v>
      </c>
      <c r="C23" s="35" t="n">
        <f aca="true">SUMIFS(Dyn_Sales,Dyn_MonthNo,$A23)</f>
        <v>354040.5</v>
      </c>
      <c r="D23" s="35" t="n">
        <f aca="true">SUMIFS(Dyn_Profit,Dyn_MonthNo,$A23)</f>
        <v>71384.55</v>
      </c>
      <c r="E23" s="57" t="n">
        <f aca="true">COUNTIFS(Dyn_MonthNo,$A23)</f>
        <v>23</v>
      </c>
      <c r="F23" s="63" t="n">
        <f aca="false">IFERROR(C23/AVERAGE(C$23:C$34)-1,0)</f>
        <v>-0.347815654962719</v>
      </c>
    </row>
    <row r="24" customFormat="false" ht="15" hidden="false" customHeight="false" outlineLevel="0" collapsed="false">
      <c r="A24" s="34" t="n">
        <v>2</v>
      </c>
      <c r="B24" s="34" t="str">
        <f aca="false">TEXT(DATE(2025,A24,1),"mmm")</f>
        <v>Feb</v>
      </c>
      <c r="C24" s="35" t="n">
        <f aca="true">SUMIFS(Dyn_Sales,Dyn_MonthNo,$A24)</f>
        <v>375093.5</v>
      </c>
      <c r="D24" s="35" t="n">
        <f aca="true">SUMIFS(Dyn_Profit,Dyn_MonthNo,$A24)</f>
        <v>75165.05</v>
      </c>
      <c r="E24" s="57" t="n">
        <f aca="true">COUNTIFS(Dyn_MonthNo,$A24)</f>
        <v>25</v>
      </c>
      <c r="F24" s="63" t="n">
        <f aca="false">IFERROR(C24/AVERAGE(C$23:C$34)-1,0)</f>
        <v>-0.309033546655704</v>
      </c>
    </row>
    <row r="25" customFormat="false" ht="15" hidden="false" customHeight="false" outlineLevel="0" collapsed="false">
      <c r="A25" s="34" t="n">
        <v>3</v>
      </c>
      <c r="B25" s="34" t="str">
        <f aca="false">TEXT(DATE(2025,A25,1),"mmm")</f>
        <v>Mar</v>
      </c>
      <c r="C25" s="35" t="n">
        <f aca="true">SUMIFS(Dyn_Sales,Dyn_MonthNo,$A25)</f>
        <v>549044.5</v>
      </c>
      <c r="D25" s="35" t="n">
        <f aca="true">SUMIFS(Dyn_Profit,Dyn_MonthNo,$A25)</f>
        <v>108738.15</v>
      </c>
      <c r="E25" s="57" t="n">
        <f aca="true">COUNTIFS(Dyn_MonthNo,$A25)</f>
        <v>22</v>
      </c>
      <c r="F25" s="63" t="n">
        <f aca="false">IFERROR(C25/AVERAGE(C$23:C$34)-1,0)</f>
        <v>0.0114047054752811</v>
      </c>
    </row>
    <row r="26" customFormat="false" ht="15" hidden="false" customHeight="false" outlineLevel="0" collapsed="false">
      <c r="A26" s="34" t="n">
        <v>4</v>
      </c>
      <c r="B26" s="34" t="str">
        <f aca="false">TEXT(DATE(2025,A26,1),"mmm")</f>
        <v>Apr</v>
      </c>
      <c r="C26" s="35" t="n">
        <f aca="true">SUMIFS(Dyn_Sales,Dyn_MonthNo,$A26)</f>
        <v>197726</v>
      </c>
      <c r="D26" s="35" t="n">
        <f aca="true">SUMIFS(Dyn_Profit,Dyn_MonthNo,$A26)</f>
        <v>40950</v>
      </c>
      <c r="E26" s="57" t="n">
        <f aca="true">COUNTIFS(Dyn_MonthNo,$A26)</f>
        <v>18</v>
      </c>
      <c r="F26" s="63" t="n">
        <f aca="false">IFERROR(C26/AVERAGE(C$23:C$34)-1,0)</f>
        <v>-0.635765394617731</v>
      </c>
    </row>
    <row r="27" customFormat="false" ht="15" hidden="false" customHeight="false" outlineLevel="0" collapsed="false">
      <c r="A27" s="34" t="n">
        <v>5</v>
      </c>
      <c r="B27" s="34" t="str">
        <f aca="false">TEXT(DATE(2025,A27,1),"mmm")</f>
        <v>May</v>
      </c>
      <c r="C27" s="35" t="n">
        <f aca="true">SUMIFS(Dyn_Sales,Dyn_MonthNo,$A27)</f>
        <v>542871</v>
      </c>
      <c r="D27" s="35" t="n">
        <f aca="true">SUMIFS(Dyn_Profit,Dyn_MonthNo,$A27)</f>
        <v>104217.3</v>
      </c>
      <c r="E27" s="57" t="n">
        <f aca="true">COUNTIFS(Dyn_MonthNo,$A27)</f>
        <v>32</v>
      </c>
      <c r="F27" s="63" t="n">
        <f aca="false">IFERROR(C27/AVERAGE(C$23:C$34)-1,0)</f>
        <v>3.23905732073637E-005</v>
      </c>
    </row>
    <row r="28" customFormat="false" ht="15" hidden="false" customHeight="false" outlineLevel="0" collapsed="false">
      <c r="A28" s="34" t="n">
        <v>6</v>
      </c>
      <c r="B28" s="34" t="str">
        <f aca="false">TEXT(DATE(2025,A28,1),"mmm")</f>
        <v>Jun</v>
      </c>
      <c r="C28" s="35" t="n">
        <f aca="true">SUMIFS(Dyn_Sales,Dyn_MonthNo,$A28)</f>
        <v>360075</v>
      </c>
      <c r="D28" s="35" t="n">
        <f aca="true">SUMIFS(Dyn_Profit,Dyn_MonthNo,$A28)</f>
        <v>72913.3</v>
      </c>
      <c r="E28" s="57" t="n">
        <f aca="true">COUNTIFS(Dyn_MonthNo,$A28)</f>
        <v>18</v>
      </c>
      <c r="F28" s="63" t="n">
        <f aca="false">IFERROR(C28/AVERAGE(C$23:C$34)-1,0)</f>
        <v>-0.336699394449791</v>
      </c>
    </row>
    <row r="29" customFormat="false" ht="15" hidden="false" customHeight="false" outlineLevel="0" collapsed="false">
      <c r="A29" s="34" t="n">
        <v>7</v>
      </c>
      <c r="B29" s="34" t="str">
        <f aca="false">TEXT(DATE(2025,A29,1),"mmm")</f>
        <v>Jul</v>
      </c>
      <c r="C29" s="35" t="n">
        <f aca="true">SUMIFS(Dyn_Sales,Dyn_MonthNo,$A29)</f>
        <v>701043</v>
      </c>
      <c r="D29" s="35" t="n">
        <f aca="true">SUMIFS(Dyn_Profit,Dyn_MonthNo,$A29)</f>
        <v>132206.9</v>
      </c>
      <c r="E29" s="57" t="n">
        <f aca="true">COUNTIFS(Dyn_MonthNo,$A29)</f>
        <v>23</v>
      </c>
      <c r="F29" s="63" t="n">
        <f aca="false">IFERROR(C29/AVERAGE(C$23:C$34)-1,0)</f>
        <v>0.291403864241437</v>
      </c>
    </row>
    <row r="30" customFormat="false" ht="15" hidden="false" customHeight="false" outlineLevel="0" collapsed="false">
      <c r="A30" s="34" t="n">
        <v>8</v>
      </c>
      <c r="B30" s="34" t="str">
        <f aca="false">TEXT(DATE(2025,A30,1),"mmm")</f>
        <v>Aug</v>
      </c>
      <c r="C30" s="35" t="n">
        <f aca="true">SUMIFS(Dyn_Sales,Dyn_MonthNo,$A30)</f>
        <v>714873</v>
      </c>
      <c r="D30" s="35" t="n">
        <f aca="true">SUMIFS(Dyn_Profit,Dyn_MonthNo,$A30)</f>
        <v>138237.7</v>
      </c>
      <c r="E30" s="57" t="n">
        <f aca="true">COUNTIFS(Dyn_MonthNo,$A30)</f>
        <v>32</v>
      </c>
      <c r="F30" s="63" t="n">
        <f aca="false">IFERROR(C30/AVERAGE(C$23:C$34)-1,0)</f>
        <v>0.316880354902436</v>
      </c>
    </row>
    <row r="31" customFormat="false" ht="15" hidden="false" customHeight="false" outlineLevel="0" collapsed="false">
      <c r="A31" s="34" t="n">
        <v>9</v>
      </c>
      <c r="B31" s="34" t="str">
        <f aca="false">TEXT(DATE(2025,A31,1),"mmm")</f>
        <v>Sep</v>
      </c>
      <c r="C31" s="35" t="n">
        <f aca="true">SUMIFS(Dyn_Sales,Dyn_MonthNo,$A31)</f>
        <v>398278</v>
      </c>
      <c r="D31" s="35" t="n">
        <f aca="true">SUMIFS(Dyn_Profit,Dyn_MonthNo,$A31)</f>
        <v>78549.8</v>
      </c>
      <c r="E31" s="57" t="n">
        <f aca="true">COUNTIFS(Dyn_MonthNo,$A31)</f>
        <v>19</v>
      </c>
      <c r="F31" s="63" t="n">
        <f aca="false">IFERROR(C31/AVERAGE(C$23:C$34)-1,0)</f>
        <v>-0.26632496402881</v>
      </c>
    </row>
    <row r="32" customFormat="false" ht="15" hidden="false" customHeight="false" outlineLevel="0" collapsed="false">
      <c r="A32" s="34" t="n">
        <v>10</v>
      </c>
      <c r="B32" s="34" t="str">
        <f aca="false">TEXT(DATE(2025,A32,1),"mmm")</f>
        <v>Oct</v>
      </c>
      <c r="C32" s="35" t="n">
        <f aca="true">SUMIFS(Dyn_Sales,Dyn_MonthNo,$A32)</f>
        <v>1130928.5</v>
      </c>
      <c r="D32" s="35" t="n">
        <f aca="true">SUMIFS(Dyn_Profit,Dyn_MonthNo,$A32)</f>
        <v>211676.55</v>
      </c>
      <c r="E32" s="57" t="n">
        <f aca="true">COUNTIFS(Dyn_MonthNo,$A32)</f>
        <v>34</v>
      </c>
      <c r="F32" s="63" t="n">
        <f aca="false">IFERROR(C32/AVERAGE(C$23:C$34)-1,0)</f>
        <v>1.08330364197456</v>
      </c>
    </row>
    <row r="33" customFormat="false" ht="15" hidden="false" customHeight="false" outlineLevel="0" collapsed="false">
      <c r="A33" s="34" t="n">
        <v>11</v>
      </c>
      <c r="B33" s="34" t="str">
        <f aca="false">TEXT(DATE(2025,A33,1),"mmm")</f>
        <v>Nov</v>
      </c>
      <c r="C33" s="35" t="n">
        <f aca="true">SUMIFS(Dyn_Sales,Dyn_MonthNo,$A33)</f>
        <v>462319</v>
      </c>
      <c r="D33" s="35" t="n">
        <f aca="true">SUMIFS(Dyn_Profit,Dyn_MonthNo,$A33)</f>
        <v>92527.7</v>
      </c>
      <c r="E33" s="57" t="n">
        <f aca="true">COUNTIFS(Dyn_MonthNo,$A33)</f>
        <v>18</v>
      </c>
      <c r="F33" s="63" t="n">
        <f aca="false">IFERROR(C33/AVERAGE(C$23:C$34)-1,0)</f>
        <v>-0.148353891113332</v>
      </c>
    </row>
    <row r="34" customFormat="false" ht="15" hidden="false" customHeight="false" outlineLevel="0" collapsed="false">
      <c r="A34" s="34" t="n">
        <v>12</v>
      </c>
      <c r="B34" s="34" t="str">
        <f aca="false">TEXT(DATE(2025,A34,1),"mmm")</f>
        <v>Dec</v>
      </c>
      <c r="C34" s="35" t="n">
        <f aca="true">SUMIFS(Dyn_Sales,Dyn_MonthNo,$A34)</f>
        <v>727949</v>
      </c>
      <c r="D34" s="35" t="n">
        <f aca="true">SUMIFS(Dyn_Profit,Dyn_MonthNo,$A34)</f>
        <v>138996.7</v>
      </c>
      <c r="E34" s="57" t="n">
        <f aca="true">COUNTIFS(Dyn_MonthNo,$A34)</f>
        <v>30</v>
      </c>
      <c r="F34" s="63" t="n">
        <f aca="false">IFERROR(C34/AVERAGE(C$23:C$34)-1,0)</f>
        <v>0.340967888661166</v>
      </c>
    </row>
    <row r="35" customFormat="false" ht="15" hidden="false" customHeight="false" outlineLevel="0" collapsed="false">
      <c r="A35" s="41" t="s">
        <v>113</v>
      </c>
      <c r="B35" s="40"/>
      <c r="C35" s="60" t="n">
        <f aca="false">SUM(C23:C34)</f>
        <v>6514241</v>
      </c>
      <c r="D35" s="60" t="n">
        <f aca="false">SUM(D23:D34)</f>
        <v>1265563.7</v>
      </c>
      <c r="E35" s="59" t="n">
        <f aca="false">SUM(E23:E34)</f>
        <v>294</v>
      </c>
    </row>
    <row r="38" customFormat="false" ht="15" hidden="false" customHeight="false" outlineLevel="0" collapsed="false">
      <c r="A38" s="31" t="s">
        <v>498</v>
      </c>
    </row>
    <row r="39" customFormat="false" ht="15" hidden="false" customHeight="false" outlineLevel="0" collapsed="false">
      <c r="A39" s="56" t="s">
        <v>61</v>
      </c>
      <c r="B39" s="56" t="s">
        <v>62</v>
      </c>
      <c r="C39" s="56" t="s">
        <v>120</v>
      </c>
      <c r="D39" s="56" t="s">
        <v>59</v>
      </c>
      <c r="E39" s="56" t="s">
        <v>60</v>
      </c>
      <c r="F39" s="56" t="s">
        <v>499</v>
      </c>
    </row>
    <row r="40" customFormat="false" ht="15" hidden="false" customHeight="false" outlineLevel="0" collapsed="false">
      <c r="A40" s="11" t="str">
        <f aca="false">'🧮 Formulas'!A6</f>
        <v>Laptop</v>
      </c>
      <c r="B40" s="11" t="str">
        <f aca="false">INDEX('🧮 Formulas'!$B$6:$B$17,MATCH(A40,'🧮 Formulas'!$A$6:$A$17,0))</f>
        <v>Technology</v>
      </c>
      <c r="C40" s="57" t="n">
        <f aca="true">SUMIFS(Dyn_Qty,Dyn_Product,$A40)</f>
        <v>48</v>
      </c>
      <c r="D40" s="35" t="n">
        <f aca="true">SUMIFS(Dyn_Sales,Dyn_Product,$A40)</f>
        <v>2367750</v>
      </c>
      <c r="E40" s="35" t="n">
        <f aca="true">SUMIFS(Dyn_Profit,Dyn_Product,$A40)</f>
        <v>426195</v>
      </c>
      <c r="F40" s="64" t="n">
        <f aca="false">RANK(D40,$D$40:$D$51)</f>
        <v>1</v>
      </c>
    </row>
    <row r="41" customFormat="false" ht="15" hidden="false" customHeight="false" outlineLevel="0" collapsed="false">
      <c r="A41" s="11" t="str">
        <f aca="false">'🧮 Formulas'!A7</f>
        <v>Smartphone</v>
      </c>
      <c r="B41" s="11" t="str">
        <f aca="false">INDEX('🧮 Formulas'!$B$6:$B$17,MATCH(A41,'🧮 Formulas'!$A$6:$A$17,0))</f>
        <v>Technology</v>
      </c>
      <c r="C41" s="57" t="n">
        <f aca="true">SUMIFS(Dyn_Qty,Dyn_Product,$A41)</f>
        <v>63</v>
      </c>
      <c r="D41" s="35" t="n">
        <f aca="true">SUMIFS(Dyn_Sales,Dyn_Product,$A41)</f>
        <v>1281500</v>
      </c>
      <c r="E41" s="35" t="n">
        <f aca="true">SUMIFS(Dyn_Profit,Dyn_Product,$A41)</f>
        <v>230670</v>
      </c>
      <c r="F41" s="64" t="n">
        <f aca="false">RANK(D41,$D$40:$D$51)</f>
        <v>2</v>
      </c>
    </row>
    <row r="42" customFormat="false" ht="15" hidden="false" customHeight="false" outlineLevel="0" collapsed="false">
      <c r="A42" s="11" t="str">
        <f aca="false">'🧮 Formulas'!A8</f>
        <v>Headphones</v>
      </c>
      <c r="B42" s="11" t="str">
        <f aca="false">INDEX('🧮 Formulas'!$B$6:$B$17,MATCH(A42,'🧮 Formulas'!$A$6:$A$17,0))</f>
        <v>Technology</v>
      </c>
      <c r="C42" s="57" t="n">
        <f aca="true">SUMIFS(Dyn_Qty,Dyn_Product,$A42)</f>
        <v>75</v>
      </c>
      <c r="D42" s="35" t="n">
        <f aca="true">SUMIFS(Dyn_Sales,Dyn_Product,$A42)</f>
        <v>240975</v>
      </c>
      <c r="E42" s="35" t="n">
        <f aca="true">SUMIFS(Dyn_Profit,Dyn_Product,$A42)</f>
        <v>43375.5</v>
      </c>
      <c r="F42" s="64" t="n">
        <f aca="false">RANK(D42,$D$40:$D$51)</f>
        <v>7</v>
      </c>
    </row>
    <row r="43" customFormat="false" ht="15" hidden="false" customHeight="false" outlineLevel="0" collapsed="false">
      <c r="A43" s="11" t="str">
        <f aca="false">'🧮 Formulas'!A9</f>
        <v>Monitor</v>
      </c>
      <c r="B43" s="11" t="str">
        <f aca="false">INDEX('🧮 Formulas'!$B$6:$B$17,MATCH(A43,'🧮 Formulas'!$A$6:$A$17,0))</f>
        <v>Technology</v>
      </c>
      <c r="C43" s="57" t="n">
        <f aca="true">SUMIFS(Dyn_Qty,Dyn_Product,$A43)</f>
        <v>61</v>
      </c>
      <c r="D43" s="35" t="n">
        <f aca="true">SUMIFS(Dyn_Sales,Dyn_Product,$A43)</f>
        <v>766500</v>
      </c>
      <c r="E43" s="35" t="n">
        <f aca="true">SUMIFS(Dyn_Profit,Dyn_Product,$A43)</f>
        <v>137970</v>
      </c>
      <c r="F43" s="64" t="n">
        <f aca="false">RANK(D43,$D$40:$D$51)</f>
        <v>3</v>
      </c>
    </row>
    <row r="44" customFormat="false" ht="15" hidden="false" customHeight="false" outlineLevel="0" collapsed="false">
      <c r="A44" s="11" t="str">
        <f aca="false">'🧮 Formulas'!A10</f>
        <v>Office Chair</v>
      </c>
      <c r="B44" s="11" t="str">
        <f aca="false">INDEX('🧮 Formulas'!$B$6:$B$17,MATCH(A44,'🧮 Formulas'!$A$6:$A$17,0))</f>
        <v>Furniture</v>
      </c>
      <c r="C44" s="57" t="n">
        <f aca="true">SUMIFS(Dyn_Qty,Dyn_Product,$A44)</f>
        <v>41</v>
      </c>
      <c r="D44" s="35" t="n">
        <f aca="true">SUMIFS(Dyn_Sales,Dyn_Product,$A44)</f>
        <v>320875</v>
      </c>
      <c r="E44" s="35" t="n">
        <f aca="true">SUMIFS(Dyn_Profit,Dyn_Product,$A44)</f>
        <v>70592.5</v>
      </c>
      <c r="F44" s="64" t="n">
        <f aca="false">RANK(D44,$D$40:$D$51)</f>
        <v>6</v>
      </c>
    </row>
    <row r="45" customFormat="false" ht="15" hidden="false" customHeight="false" outlineLevel="0" collapsed="false">
      <c r="A45" s="11" t="str">
        <f aca="false">'🧮 Formulas'!A11</f>
        <v>Desk</v>
      </c>
      <c r="B45" s="11" t="str">
        <f aca="false">INDEX('🧮 Formulas'!$B$6:$B$17,MATCH(A45,'🧮 Formulas'!$A$6:$A$17,0))</f>
        <v>Furniture</v>
      </c>
      <c r="C45" s="57" t="n">
        <f aca="true">SUMIFS(Dyn_Qty,Dyn_Product,$A45)</f>
        <v>61</v>
      </c>
      <c r="D45" s="35" t="n">
        <f aca="true">SUMIFS(Dyn_Sales,Dyn_Product,$A45)</f>
        <v>699600</v>
      </c>
      <c r="E45" s="35" t="n">
        <f aca="true">SUMIFS(Dyn_Profit,Dyn_Product,$A45)</f>
        <v>153912</v>
      </c>
      <c r="F45" s="64" t="n">
        <f aca="false">RANK(D45,$D$40:$D$51)</f>
        <v>4</v>
      </c>
    </row>
    <row r="46" customFormat="false" ht="15" hidden="false" customHeight="false" outlineLevel="0" collapsed="false">
      <c r="A46" s="11" t="str">
        <f aca="false">'🧮 Formulas'!A12</f>
        <v>Bookcase</v>
      </c>
      <c r="B46" s="11" t="str">
        <f aca="false">INDEX('🧮 Formulas'!$B$6:$B$17,MATCH(A46,'🧮 Formulas'!$A$6:$A$17,0))</f>
        <v>Furniture</v>
      </c>
      <c r="C46" s="57" t="n">
        <f aca="true">SUMIFS(Dyn_Qty,Dyn_Product,$A46)</f>
        <v>84</v>
      </c>
      <c r="D46" s="35" t="n">
        <f aca="true">SUMIFS(Dyn_Sales,Dyn_Product,$A46)</f>
        <v>499525</v>
      </c>
      <c r="E46" s="35" t="n">
        <f aca="true">SUMIFS(Dyn_Profit,Dyn_Product,$A46)</f>
        <v>109895.5</v>
      </c>
      <c r="F46" s="64" t="n">
        <f aca="false">RANK(D46,$D$40:$D$51)</f>
        <v>5</v>
      </c>
    </row>
    <row r="47" customFormat="false" ht="15" hidden="false" customHeight="false" outlineLevel="0" collapsed="false">
      <c r="A47" s="11" t="str">
        <f aca="false">'🧮 Formulas'!A13</f>
        <v>Lamp</v>
      </c>
      <c r="B47" s="11" t="str">
        <f aca="false">INDEX('🧮 Formulas'!$B$6:$B$17,MATCH(A47,'🧮 Formulas'!$A$6:$A$17,0))</f>
        <v>Furniture</v>
      </c>
      <c r="C47" s="57" t="n">
        <f aca="true">SUMIFS(Dyn_Qty,Dyn_Product,$A47)</f>
        <v>63</v>
      </c>
      <c r="D47" s="35" t="n">
        <f aca="true">SUMIFS(Dyn_Sales,Dyn_Product,$A47)</f>
        <v>103770</v>
      </c>
      <c r="E47" s="35" t="n">
        <f aca="true">SUMIFS(Dyn_Profit,Dyn_Product,$A47)</f>
        <v>22829.4</v>
      </c>
      <c r="F47" s="64" t="n">
        <f aca="false">RANK(D47,$D$40:$D$51)</f>
        <v>8</v>
      </c>
    </row>
    <row r="48" customFormat="false" ht="15" hidden="false" customHeight="false" outlineLevel="0" collapsed="false">
      <c r="A48" s="11" t="str">
        <f aca="false">'🧮 Formulas'!A14</f>
        <v>Notebook</v>
      </c>
      <c r="B48" s="11" t="str">
        <f aca="false">INDEX('🧮 Formulas'!$B$6:$B$17,MATCH(A48,'🧮 Formulas'!$A$6:$A$17,0))</f>
        <v>Office Supplies</v>
      </c>
      <c r="C48" s="57" t="n">
        <f aca="true">SUMIFS(Dyn_Qty,Dyn_Product,$A48)</f>
        <v>186</v>
      </c>
      <c r="D48" s="35" t="n">
        <f aca="true">SUMIFS(Dyn_Sales,Dyn_Product,$A48)</f>
        <v>21270</v>
      </c>
      <c r="E48" s="35" t="n">
        <f aca="true">SUMIFS(Dyn_Profit,Dyn_Product,$A48)</f>
        <v>6381</v>
      </c>
      <c r="F48" s="64" t="n">
        <f aca="false">RANK(D48,$D$40:$D$51)</f>
        <v>12</v>
      </c>
    </row>
    <row r="49" customFormat="false" ht="15" hidden="false" customHeight="false" outlineLevel="0" collapsed="false">
      <c r="A49" s="11" t="str">
        <f aca="false">'🧮 Formulas'!A15</f>
        <v>Printer Paper</v>
      </c>
      <c r="B49" s="11" t="str">
        <f aca="false">INDEX('🧮 Formulas'!$B$6:$B$17,MATCH(A49,'🧮 Formulas'!$A$6:$A$17,0))</f>
        <v>Office Supplies</v>
      </c>
      <c r="C49" s="57" t="n">
        <f aca="true">SUMIFS(Dyn_Qty,Dyn_Product,$A49)</f>
        <v>236</v>
      </c>
      <c r="D49" s="35" t="n">
        <f aca="true">SUMIFS(Dyn_Sales,Dyn_Product,$A49)</f>
        <v>96367.5</v>
      </c>
      <c r="E49" s="35" t="n">
        <f aca="true">SUMIFS(Dyn_Profit,Dyn_Product,$A49)</f>
        <v>28910.25</v>
      </c>
      <c r="F49" s="64" t="n">
        <f aca="false">RANK(D49,$D$40:$D$51)</f>
        <v>9</v>
      </c>
    </row>
    <row r="50" customFormat="false" ht="15" hidden="false" customHeight="false" outlineLevel="0" collapsed="false">
      <c r="A50" s="11" t="str">
        <f aca="false">'🧮 Formulas'!A16</f>
        <v>Pen Set</v>
      </c>
      <c r="B50" s="11" t="str">
        <f aca="false">INDEX('🧮 Formulas'!$B$6:$B$17,MATCH(A50,'🧮 Formulas'!$A$6:$A$17,0))</f>
        <v>Office Supplies</v>
      </c>
      <c r="C50" s="57" t="n">
        <f aca="true">SUMIFS(Dyn_Qty,Dyn_Product,$A50)</f>
        <v>299</v>
      </c>
      <c r="D50" s="35" t="n">
        <f aca="true">SUMIFS(Dyn_Sales,Dyn_Product,$A50)</f>
        <v>69812.5</v>
      </c>
      <c r="E50" s="35" t="n">
        <f aca="true">SUMIFS(Dyn_Profit,Dyn_Product,$A50)</f>
        <v>20943.75</v>
      </c>
      <c r="F50" s="64" t="n">
        <f aca="false">RANK(D50,$D$40:$D$51)</f>
        <v>10</v>
      </c>
    </row>
    <row r="51" customFormat="false" ht="15" hidden="false" customHeight="false" outlineLevel="0" collapsed="false">
      <c r="A51" s="11" t="str">
        <f aca="false">'🧮 Formulas'!A17</f>
        <v>Stapler</v>
      </c>
      <c r="B51" s="11" t="str">
        <f aca="false">INDEX('🧮 Formulas'!$B$6:$B$17,MATCH(A51,'🧮 Formulas'!$A$6:$A$17,0))</f>
        <v>Office Supplies</v>
      </c>
      <c r="C51" s="57" t="n">
        <f aca="true">SUMIFS(Dyn_Qty,Dyn_Product,$A51)</f>
        <v>279</v>
      </c>
      <c r="D51" s="35" t="n">
        <f aca="true">SUMIFS(Dyn_Sales,Dyn_Product,$A51)</f>
        <v>46296</v>
      </c>
      <c r="E51" s="35" t="n">
        <f aca="true">SUMIFS(Dyn_Profit,Dyn_Product,$A51)</f>
        <v>13888.8</v>
      </c>
      <c r="F51" s="64" t="n">
        <f aca="false">RANK(D51,$D$40:$D$51)</f>
        <v>11</v>
      </c>
    </row>
    <row r="54" customFormat="false" ht="15" hidden="false" customHeight="false" outlineLevel="0" collapsed="false">
      <c r="A54" s="31" t="s">
        <v>500</v>
      </c>
    </row>
    <row r="55" customFormat="false" ht="15" hidden="false" customHeight="false" outlineLevel="0" collapsed="false">
      <c r="A55" s="56" t="s">
        <v>119</v>
      </c>
      <c r="B55" s="56" t="s">
        <v>492</v>
      </c>
      <c r="C55" s="56" t="s">
        <v>59</v>
      </c>
      <c r="D55" s="56" t="s">
        <v>60</v>
      </c>
    </row>
    <row r="56" customFormat="false" ht="15" hidden="false" customHeight="false" outlineLevel="0" collapsed="false">
      <c r="A56" s="11" t="s">
        <v>126</v>
      </c>
      <c r="B56" s="57" t="n">
        <f aca="true">COUNTIFS(Dyn_Segment,$A56)</f>
        <v>95</v>
      </c>
      <c r="C56" s="35" t="n">
        <f aca="true">SUMIFS(Dyn_Sales,Dyn_Segment,$A56)</f>
        <v>2524544.5</v>
      </c>
      <c r="D56" s="35" t="n">
        <f aca="true">SUMIFS(Dyn_Profit,Dyn_Segment,$A56)</f>
        <v>484458.35</v>
      </c>
    </row>
    <row r="57" customFormat="false" ht="15" hidden="false" customHeight="false" outlineLevel="0" collapsed="false">
      <c r="A57" s="11" t="s">
        <v>134</v>
      </c>
      <c r="B57" s="57" t="n">
        <f aca="true">COUNTIFS(Dyn_Segment,$A57)</f>
        <v>100</v>
      </c>
      <c r="C57" s="35" t="n">
        <f aca="true">SUMIFS(Dyn_Sales,Dyn_Segment,$A57)</f>
        <v>2207108</v>
      </c>
      <c r="D57" s="35" t="n">
        <f aca="true">SUMIFS(Dyn_Profit,Dyn_Segment,$A57)</f>
        <v>420992.6</v>
      </c>
    </row>
    <row r="58" customFormat="false" ht="15" hidden="false" customHeight="false" outlineLevel="0" collapsed="false">
      <c r="A58" s="11" t="s">
        <v>141</v>
      </c>
      <c r="B58" s="57" t="n">
        <f aca="true">COUNTIFS(Dyn_Segment,$A58)</f>
        <v>99</v>
      </c>
      <c r="C58" s="35" t="n">
        <f aca="true">SUMIFS(Dyn_Sales,Dyn_Segment,$A58)</f>
        <v>1782588.5</v>
      </c>
      <c r="D58" s="35" t="n">
        <f aca="true">SUMIFS(Dyn_Profit,Dyn_Segment,$A58)</f>
        <v>360112.75</v>
      </c>
    </row>
    <row r="59" customFormat="false" ht="15" hidden="false" customHeight="false" outlineLevel="0" collapsed="false">
      <c r="A59" s="41" t="s">
        <v>113</v>
      </c>
      <c r="B59" s="59" t="n">
        <f aca="false">SUM(B56:B58)</f>
        <v>294</v>
      </c>
      <c r="C59" s="60" t="n">
        <f aca="false">SUM(C56:C58)</f>
        <v>6514241</v>
      </c>
      <c r="D59" s="60" t="n">
        <f aca="false">SUM(D56:D58)</f>
        <v>1265563.7</v>
      </c>
    </row>
  </sheetData>
  <mergeCells count="1">
    <mergeCell ref="A1:G1"/>
  </mergeCells>
  <conditionalFormatting sqref="D6:D9">
    <cfRule type="dataBar" priority="2">
      <dataBar showValue="1" minLength="10" maxLength="90">
        <cfvo type="num" val="0"/>
        <cfvo type="max" val="0"/>
        <color rgb="FF4F81BD"/>
      </dataBar>
      <extLst>
        <ext xmlns:x14="http://schemas.microsoft.com/office/spreadsheetml/2009/9/main" uri="{B025F937-C7B1-47D3-B67F-A62EFF666E3E}">
          <x14:id>{B3C2CDC0-57A2-4780-BC59-C43414F6A57E}</x14:id>
        </ext>
      </extLst>
    </cfRule>
  </conditionalFormatting>
  <conditionalFormatting sqref="B15:E17">
    <cfRule type="colorScale" priority="3">
      <colorScale>
        <cfvo type="min" val="0"/>
        <cfvo type="percentile" val="50"/>
        <cfvo type="max" val="0"/>
        <color rgb="FFFFF2CC"/>
        <color rgb="FFFDBA74"/>
        <color rgb="FF16A34A"/>
      </colorScale>
    </cfRule>
  </conditionalFormatting>
  <conditionalFormatting sqref="F23:F34">
    <cfRule type="iconSet" priority="4">
      <iconSet iconSet="3Arrows">
        <cfvo type="num" val="-1"/>
        <cfvo type="num" val="-0.05"/>
        <cfvo type="num" val="0.05"/>
      </iconSet>
    </cfRule>
  </conditionalFormatting>
  <conditionalFormatting sqref="F40:F51">
    <cfRule type="cellIs" priority="5" operator="lessThanOrEqual" aboveAverage="0" equalAverage="0" bottom="0" percent="0" rank="0" text="" dxfId="5">
      <formula>3</formula>
    </cfRule>
    <cfRule type="cellIs" priority="6" operator="greaterThanOrEqual" aboveAverage="0" equalAverage="0" bottom="0" percent="0" rank="0" text="" dxfId="6">
      <formula>10</formula>
    </cfRule>
  </conditionalFormatting>
  <conditionalFormatting sqref="D40:D51">
    <cfRule type="dataBar" priority="7">
      <dataBar showValue="1" minLength="10" maxLength="90">
        <cfvo type="num" val="0"/>
        <cfvo type="max" val="0"/>
        <color rgb="FFF59E0B"/>
      </dataBar>
      <extLst>
        <ext xmlns:x14="http://schemas.microsoft.com/office/spreadsheetml/2009/9/main" uri="{B025F937-C7B1-47D3-B67F-A62EFF666E3E}">
          <x14:id>{64B0239D-B2B1-4866-86B0-B7653800BED8}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C2CDC0-57A2-4780-BC59-C43414F6A57E}">
            <x14:dataBar minLength="10" maxLength="90" axisPosition="none" gradient="true">
              <x14:cfvo type="num">
                <xm:f>0</xm:f>
              </x14:cfvo>
              <x14:cfvo type="max"/>
              <x14:negativeFillColor rgb="FF4F81BD"/>
              <x14:axisColor rgb="FF000000"/>
            </x14:dataBar>
          </x14:cfRule>
          <xm:sqref>D6:D9</xm:sqref>
        </x14:conditionalFormatting>
        <x14:conditionalFormatting xmlns:xm="http://schemas.microsoft.com/office/excel/2006/main">
          <x14:cfRule type="dataBar" id="{64B0239D-B2B1-4866-86B0-B7653800BED8}">
            <x14:dataBar minLength="10" maxLength="90" axisPosition="none" gradient="true">
              <x14:cfvo type="num">
                <xm:f>0</xm:f>
              </x14:cfvo>
              <x14:cfvo type="max"/>
              <x14:negativeFillColor rgb="FFF59E0B"/>
              <x14:axisColor rgb="FF000000"/>
            </x14:dataBar>
          </x14:cfRule>
          <xm:sqref>D40:D51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8" min="7" style="0" width="4"/>
  </cols>
  <sheetData>
    <row r="1" customFormat="false" ht="17.35" hidden="false" customHeight="false" outlineLevel="0" collapsed="false">
      <c r="A1" s="55" t="s">
        <v>501</v>
      </c>
      <c r="B1" s="55"/>
      <c r="C1" s="55"/>
      <c r="D1" s="55"/>
      <c r="E1" s="55"/>
      <c r="F1" s="55"/>
      <c r="G1" s="55"/>
      <c r="H1" s="55"/>
    </row>
    <row r="3" customFormat="false" ht="15" hidden="false" customHeight="false" outlineLevel="0" collapsed="false">
      <c r="A3" s="8" t="s">
        <v>502</v>
      </c>
    </row>
    <row r="4" customFormat="false" ht="15" hidden="false" customHeight="false" outlineLevel="0" collapsed="false">
      <c r="A4" s="31" t="s">
        <v>503</v>
      </c>
      <c r="E4" s="31" t="s">
        <v>504</v>
      </c>
    </row>
    <row r="5" customFormat="false" ht="15" hidden="false" customHeight="false" outlineLevel="0" collapsed="false">
      <c r="A5" s="56" t="s">
        <v>61</v>
      </c>
      <c r="B5" s="56" t="s">
        <v>62</v>
      </c>
      <c r="C5" s="56" t="s">
        <v>505</v>
      </c>
      <c r="E5" s="56" t="s">
        <v>62</v>
      </c>
      <c r="F5" s="56" t="s">
        <v>478</v>
      </c>
    </row>
    <row r="6" customFormat="false" ht="15" hidden="false" customHeight="false" outlineLevel="0" collapsed="false">
      <c r="A6" s="11" t="s">
        <v>131</v>
      </c>
      <c r="B6" s="11" t="s">
        <v>124</v>
      </c>
      <c r="C6" s="65" t="n">
        <v>55000</v>
      </c>
      <c r="E6" s="11" t="s">
        <v>124</v>
      </c>
      <c r="F6" s="66" t="n">
        <v>0.18</v>
      </c>
    </row>
    <row r="7" customFormat="false" ht="15" hidden="false" customHeight="false" outlineLevel="0" collapsed="false">
      <c r="A7" s="11" t="s">
        <v>133</v>
      </c>
      <c r="B7" s="11" t="s">
        <v>124</v>
      </c>
      <c r="C7" s="65" t="n">
        <v>22000</v>
      </c>
      <c r="E7" s="11" t="s">
        <v>136</v>
      </c>
      <c r="F7" s="66" t="n">
        <v>0.22</v>
      </c>
    </row>
    <row r="8" customFormat="false" ht="15" hidden="false" customHeight="false" outlineLevel="0" collapsed="false">
      <c r="A8" s="11" t="s">
        <v>125</v>
      </c>
      <c r="B8" s="11" t="s">
        <v>124</v>
      </c>
      <c r="C8" s="65" t="n">
        <v>3500</v>
      </c>
      <c r="E8" s="11" t="s">
        <v>128</v>
      </c>
      <c r="F8" s="66" t="n">
        <v>0.3</v>
      </c>
    </row>
    <row r="9" customFormat="false" ht="15" hidden="false" customHeight="false" outlineLevel="0" collapsed="false">
      <c r="A9" s="11" t="s">
        <v>146</v>
      </c>
      <c r="B9" s="11" t="s">
        <v>124</v>
      </c>
      <c r="C9" s="65" t="n">
        <v>14000</v>
      </c>
      <c r="E9" s="8" t="s">
        <v>506</v>
      </c>
    </row>
    <row r="10" customFormat="false" ht="15" hidden="false" customHeight="false" outlineLevel="0" collapsed="false">
      <c r="A10" s="11" t="s">
        <v>160</v>
      </c>
      <c r="B10" s="11" t="s">
        <v>136</v>
      </c>
      <c r="C10" s="65" t="n">
        <v>8500</v>
      </c>
    </row>
    <row r="11" customFormat="false" ht="15" hidden="false" customHeight="false" outlineLevel="0" collapsed="false">
      <c r="A11" s="11" t="s">
        <v>137</v>
      </c>
      <c r="B11" s="11" t="s">
        <v>136</v>
      </c>
      <c r="C11" s="65" t="n">
        <v>12000</v>
      </c>
    </row>
    <row r="12" customFormat="false" ht="15" hidden="false" customHeight="false" outlineLevel="0" collapsed="false">
      <c r="A12" s="11" t="s">
        <v>139</v>
      </c>
      <c r="B12" s="11" t="s">
        <v>136</v>
      </c>
      <c r="C12" s="65" t="n">
        <v>6500</v>
      </c>
    </row>
    <row r="13" customFormat="false" ht="15" hidden="false" customHeight="false" outlineLevel="0" collapsed="false">
      <c r="A13" s="11" t="s">
        <v>184</v>
      </c>
      <c r="B13" s="11" t="s">
        <v>136</v>
      </c>
      <c r="C13" s="65" t="n">
        <v>1800</v>
      </c>
    </row>
    <row r="14" customFormat="false" ht="15" hidden="false" customHeight="false" outlineLevel="0" collapsed="false">
      <c r="A14" s="11" t="s">
        <v>129</v>
      </c>
      <c r="B14" s="11" t="s">
        <v>128</v>
      </c>
      <c r="C14" s="65" t="n">
        <v>120</v>
      </c>
    </row>
    <row r="15" customFormat="false" ht="15" hidden="false" customHeight="false" outlineLevel="0" collapsed="false">
      <c r="A15" s="11" t="s">
        <v>149</v>
      </c>
      <c r="B15" s="11" t="s">
        <v>128</v>
      </c>
      <c r="C15" s="65" t="n">
        <v>450</v>
      </c>
    </row>
    <row r="16" customFormat="false" ht="15" hidden="false" customHeight="false" outlineLevel="0" collapsed="false">
      <c r="A16" s="11" t="s">
        <v>155</v>
      </c>
      <c r="B16" s="11" t="s">
        <v>128</v>
      </c>
      <c r="C16" s="65" t="n">
        <v>250</v>
      </c>
    </row>
    <row r="17" customFormat="false" ht="15" hidden="false" customHeight="false" outlineLevel="0" collapsed="false">
      <c r="A17" s="11" t="s">
        <v>144</v>
      </c>
      <c r="B17" s="11" t="s">
        <v>128</v>
      </c>
      <c r="C17" s="65" t="n">
        <v>180</v>
      </c>
    </row>
    <row r="20" customFormat="false" ht="15" hidden="false" customHeight="false" outlineLevel="0" collapsed="false">
      <c r="A20" s="67" t="s">
        <v>507</v>
      </c>
      <c r="B20" s="67"/>
      <c r="C20" s="67"/>
    </row>
    <row r="21" customFormat="false" ht="15" hidden="false" customHeight="false" outlineLevel="0" collapsed="false">
      <c r="A21" s="68" t="s">
        <v>508</v>
      </c>
      <c r="B21" s="18" t="s">
        <v>131</v>
      </c>
    </row>
    <row r="22" customFormat="false" ht="15" hidden="false" customHeight="false" outlineLevel="0" collapsed="false">
      <c r="A22" s="11" t="s">
        <v>62</v>
      </c>
      <c r="B22" s="69" t="str">
        <f aca="false">VLOOKUP($B$21,$A$6:$C$17,2,FALSE())</f>
        <v>Technology</v>
      </c>
      <c r="C22" s="70" t="s">
        <v>509</v>
      </c>
    </row>
    <row r="23" customFormat="false" ht="15" hidden="false" customHeight="false" outlineLevel="0" collapsed="false">
      <c r="A23" s="11" t="s">
        <v>510</v>
      </c>
      <c r="B23" s="71" t="n">
        <f aca="false">VLOOKUP($B$21,$A$6:$C$17,3,FALSE())</f>
        <v>55000</v>
      </c>
      <c r="C23" s="70" t="s">
        <v>509</v>
      </c>
    </row>
    <row r="24" customFormat="false" ht="15" hidden="false" customHeight="false" outlineLevel="0" collapsed="false">
      <c r="A24" s="11" t="s">
        <v>511</v>
      </c>
      <c r="B24" s="71" t="n">
        <f aca="false">INDEX($C$6:$C$17,MATCH($B$21,$A$6:$A$17,0))</f>
        <v>55000</v>
      </c>
      <c r="C24" s="70" t="s">
        <v>512</v>
      </c>
    </row>
    <row r="25" customFormat="false" ht="15" hidden="false" customHeight="false" outlineLevel="0" collapsed="false">
      <c r="A25" s="11" t="s">
        <v>478</v>
      </c>
      <c r="B25" s="72" t="n">
        <f aca="false">INDEX($F$6:$F$8,MATCH(B22,$E$6:$E$8,0))</f>
        <v>0.18</v>
      </c>
      <c r="C25" s="70" t="s">
        <v>513</v>
      </c>
    </row>
    <row r="26" customFormat="false" ht="15" hidden="false" customHeight="false" outlineLevel="0" collapsed="false">
      <c r="A26" s="11" t="s">
        <v>514</v>
      </c>
      <c r="B26" s="54" t="n">
        <f aca="true">SUMIFS(Dyn_Qty,Dyn_Product,$B$21)</f>
        <v>48</v>
      </c>
      <c r="C26" s="70" t="s">
        <v>515</v>
      </c>
    </row>
    <row r="27" customFormat="false" ht="15" hidden="false" customHeight="false" outlineLevel="0" collapsed="false">
      <c r="A27" s="11" t="s">
        <v>516</v>
      </c>
      <c r="B27" s="71" t="n">
        <f aca="true">SUMIFS(Dyn_Sales,Dyn_Product,$B$21)</f>
        <v>2367750</v>
      </c>
      <c r="C27" s="70" t="s">
        <v>517</v>
      </c>
    </row>
    <row r="28" customFormat="false" ht="15" hidden="false" customHeight="false" outlineLevel="0" collapsed="false">
      <c r="A28" s="11" t="s">
        <v>518</v>
      </c>
      <c r="B28" s="73" t="n">
        <f aca="false">INDEX('📊 Pivots'!$F$40:$F$51,MATCH($B$21,'📊 Pivots'!$A$40:$A$51,0))</f>
        <v>1</v>
      </c>
      <c r="C28" s="70" t="s">
        <v>519</v>
      </c>
    </row>
    <row r="29" customFormat="false" ht="15" hidden="false" customHeight="false" outlineLevel="0" collapsed="false">
      <c r="A29" s="11" t="s">
        <v>520</v>
      </c>
      <c r="B29" s="69" t="str">
        <f aca="false">IF(B28&lt;=3,"⭐ Top Seller",IF(B28&lt;=8,"👍 Average","⚠️ Needs a Push"))</f>
        <v>⭐ Top Seller</v>
      </c>
      <c r="C29" s="70" t="s">
        <v>521</v>
      </c>
    </row>
    <row r="32" customFormat="false" ht="15" hidden="false" customHeight="false" outlineLevel="0" collapsed="false">
      <c r="A32" s="67" t="s">
        <v>522</v>
      </c>
      <c r="B32" s="67"/>
      <c r="C32" s="67"/>
      <c r="D32" s="67"/>
      <c r="E32" s="67"/>
    </row>
    <row r="33" customFormat="false" ht="15" hidden="false" customHeight="false" outlineLevel="0" collapsed="false">
      <c r="A33" s="56" t="s">
        <v>64</v>
      </c>
      <c r="B33" s="56" t="s">
        <v>59</v>
      </c>
      <c r="C33" s="56" t="s">
        <v>523</v>
      </c>
      <c r="D33" s="56" t="s">
        <v>524</v>
      </c>
      <c r="E33" s="56" t="s">
        <v>74</v>
      </c>
    </row>
    <row r="34" customFormat="false" ht="15" hidden="false" customHeight="false" outlineLevel="0" collapsed="false">
      <c r="A34" s="11" t="s">
        <v>65</v>
      </c>
      <c r="B34" s="35" t="n">
        <f aca="false">INDEX('📊 Pivots'!$D$6:$D$9,MATCH(A34,'📊 Pivots'!$A$6:$A$9,0))</f>
        <v>1922759.5</v>
      </c>
      <c r="C34" s="65" t="n">
        <v>2100000</v>
      </c>
      <c r="D34" s="58" t="n">
        <f aca="false">IFERROR(B34/C34,0)</f>
        <v>0.915599761904762</v>
      </c>
      <c r="E34" s="11" t="str">
        <f aca="false">IF(D34&gt;=1,"🏆 Target Achieved",IF(D34&gt;=0.9,"🟡 Almost There","🔴 Below Target"))</f>
        <v>🟡 Almost There</v>
      </c>
    </row>
    <row r="35" customFormat="false" ht="15" hidden="false" customHeight="false" outlineLevel="0" collapsed="false">
      <c r="A35" s="11" t="s">
        <v>66</v>
      </c>
      <c r="B35" s="35" t="n">
        <f aca="false">INDEX('📊 Pivots'!$D$6:$D$9,MATCH(A35,'📊 Pivots'!$A$6:$A$9,0))</f>
        <v>1387188</v>
      </c>
      <c r="C35" s="65" t="n">
        <v>1300000</v>
      </c>
      <c r="D35" s="58" t="n">
        <f aca="false">IFERROR(B35/C35,0)</f>
        <v>1.06706769230769</v>
      </c>
      <c r="E35" s="11" t="str">
        <f aca="false">IF(D35&gt;=1,"🏆 Target Achieved",IF(D35&gt;=0.9,"🟡 Almost There","🔴 Below Target"))</f>
        <v>🏆 Target Achieved</v>
      </c>
    </row>
    <row r="36" customFormat="false" ht="15" hidden="false" customHeight="false" outlineLevel="0" collapsed="false">
      <c r="A36" s="11" t="s">
        <v>67</v>
      </c>
      <c r="B36" s="35" t="n">
        <f aca="false">INDEX('📊 Pivots'!$D$6:$D$9,MATCH(A36,'📊 Pivots'!$A$6:$A$9,0))</f>
        <v>1495776.5</v>
      </c>
      <c r="C36" s="65" t="n">
        <v>1500000</v>
      </c>
      <c r="D36" s="58" t="n">
        <f aca="false">IFERROR(B36/C36,0)</f>
        <v>0.997184333333333</v>
      </c>
      <c r="E36" s="11" t="str">
        <f aca="false">IF(D36&gt;=1,"🏆 Target Achieved",IF(D36&gt;=0.9,"🟡 Almost There","🔴 Below Target"))</f>
        <v>🟡 Almost There</v>
      </c>
    </row>
    <row r="37" customFormat="false" ht="15" hidden="false" customHeight="false" outlineLevel="0" collapsed="false">
      <c r="A37" s="11" t="s">
        <v>68</v>
      </c>
      <c r="B37" s="35" t="n">
        <f aca="false">INDEX('📊 Pivots'!$D$6:$D$9,MATCH(A37,'📊 Pivots'!$A$6:$A$9,0))</f>
        <v>1708517</v>
      </c>
      <c r="C37" s="65" t="n">
        <v>1500000</v>
      </c>
      <c r="D37" s="58" t="n">
        <f aca="false">IFERROR(B37/C37,0)</f>
        <v>1.13901133333333</v>
      </c>
      <c r="E37" s="11" t="str">
        <f aca="false">IF(D37&gt;=1,"🏆 Target Achieved",IF(D37&gt;=0.9,"🟡 Almost There","🔴 Below Target"))</f>
        <v>🏆 Target Achieved</v>
      </c>
    </row>
    <row r="38" customFormat="false" ht="15" hidden="false" customHeight="false" outlineLevel="0" collapsed="false">
      <c r="A38" s="8" t="s">
        <v>525</v>
      </c>
    </row>
    <row r="40" customFormat="false" ht="15" hidden="false" customHeight="false" outlineLevel="0" collapsed="false">
      <c r="A40" s="67" t="s">
        <v>526</v>
      </c>
      <c r="B40" s="67"/>
      <c r="C40" s="67"/>
    </row>
    <row r="41" customFormat="false" ht="15" hidden="false" customHeight="false" outlineLevel="0" collapsed="false">
      <c r="A41" s="11" t="s">
        <v>527</v>
      </c>
      <c r="B41" s="71" t="n">
        <f aca="true">SUMPRODUCT(Dyn_Qty,Dyn_Price,Dyn_Disc)</f>
        <v>621649</v>
      </c>
      <c r="C41" s="70" t="s">
        <v>528</v>
      </c>
    </row>
    <row r="42" customFormat="false" ht="15" hidden="false" customHeight="false" outlineLevel="0" collapsed="false">
      <c r="A42" s="11" t="s">
        <v>529</v>
      </c>
      <c r="B42" s="54" t="n">
        <f aca="true">COUNTIFS(Dyn_Disc,"&gt;=0.1")</f>
        <v>145</v>
      </c>
      <c r="C42" s="70" t="s">
        <v>530</v>
      </c>
    </row>
    <row r="43" customFormat="false" ht="15" hidden="false" customHeight="false" outlineLevel="0" collapsed="false">
      <c r="A43" s="11" t="s">
        <v>531</v>
      </c>
      <c r="B43" s="74" t="n">
        <f aca="true">AVERAGE(Dyn_Disc)</f>
        <v>0.0802721088435374</v>
      </c>
      <c r="C43" s="70" t="s">
        <v>532</v>
      </c>
    </row>
    <row r="44" customFormat="false" ht="15" hidden="false" customHeight="false" outlineLevel="0" collapsed="false">
      <c r="A44" s="11" t="s">
        <v>533</v>
      </c>
      <c r="B44" s="69" t="str">
        <f aca="false">INDEX('📊 Pivots'!$B$23:$B$34,MATCH(MAX('📊 Pivots'!$C$23:$C$34),'📊 Pivots'!$C$23:$C$34,0))</f>
        <v>Oct</v>
      </c>
      <c r="C44" s="70" t="s">
        <v>534</v>
      </c>
    </row>
    <row r="45" customFormat="false" ht="15" hidden="false" customHeight="false" outlineLevel="0" collapsed="false">
      <c r="A45" s="11" t="s">
        <v>535</v>
      </c>
      <c r="B45" s="69" t="str">
        <f aca="false">INDEX('📊 Pivots'!$A$6:$A$9,MATCH(MAX('📊 Pivots'!$D$6:$D$9),'📊 Pivots'!$D$6:$D$9,0))</f>
        <v>North</v>
      </c>
      <c r="C45" s="70" t="s">
        <v>534</v>
      </c>
    </row>
    <row r="46" customFormat="false" ht="15" hidden="false" customHeight="false" outlineLevel="0" collapsed="false">
      <c r="A46" s="11" t="s">
        <v>536</v>
      </c>
      <c r="B46" s="69" t="str">
        <f aca="false">IFERROR(VLOOKUP("Tablet",$A$6:$C$17,3,FALSE()),"Not found ❌")</f>
        <v>Not found ❌</v>
      </c>
      <c r="C46" s="70" t="s">
        <v>537</v>
      </c>
    </row>
    <row r="47" customFormat="false" ht="15" hidden="false" customHeight="false" outlineLevel="0" collapsed="false">
      <c r="A47" s="11" t="s">
        <v>538</v>
      </c>
      <c r="B47" s="54" t="n">
        <f aca="true">SUMPRODUCT(--(WEEKDAY(Dyn_Date,2)&gt;5))</f>
        <v>76</v>
      </c>
      <c r="C47" s="70" t="s">
        <v>539</v>
      </c>
    </row>
  </sheetData>
  <mergeCells count="4">
    <mergeCell ref="A1:H1"/>
    <mergeCell ref="A20:C20"/>
    <mergeCell ref="A32:E32"/>
    <mergeCell ref="A40:C40"/>
  </mergeCells>
  <dataValidations count="1">
    <dataValidation allowBlank="false" errorStyle="stop" operator="between" showDropDown="false" showErrorMessage="false" showInputMessage="false" sqref="B21" type="list">
      <formula1>$A$6:$A$17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N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5" t="s">
        <v>540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customFormat="false" ht="15" hidden="false" customHeight="false" outlineLevel="0" collapsed="false">
      <c r="A2" s="8" t="s">
        <v>541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8"/>
    <col collapsed="false" customWidth="true" hidden="false" outlineLevel="0" max="3" min="3" style="0" width="22"/>
  </cols>
  <sheetData>
    <row r="1" customFormat="false" ht="19.7" hidden="false" customHeight="false" outlineLevel="0" collapsed="false">
      <c r="A1" s="36" t="s">
        <v>542</v>
      </c>
      <c r="B1" s="36"/>
      <c r="C1" s="36"/>
    </row>
    <row r="3" customFormat="false" ht="15" hidden="false" customHeight="false" outlineLevel="0" collapsed="false">
      <c r="A3" s="37" t="s">
        <v>543</v>
      </c>
      <c r="B3" s="37" t="s">
        <v>544</v>
      </c>
      <c r="C3" s="37" t="s">
        <v>545</v>
      </c>
    </row>
    <row r="4" customFormat="false" ht="30" hidden="false" customHeight="true" outlineLevel="0" collapsed="false">
      <c r="A4" s="75" t="s">
        <v>546</v>
      </c>
      <c r="B4" s="76" t="s">
        <v>547</v>
      </c>
      <c r="C4" s="77" t="s">
        <v>20</v>
      </c>
    </row>
    <row r="5" customFormat="false" ht="60" hidden="false" customHeight="true" outlineLevel="0" collapsed="false">
      <c r="A5" s="75" t="s">
        <v>14</v>
      </c>
      <c r="B5" s="76" t="s">
        <v>548</v>
      </c>
      <c r="C5" s="77" t="s">
        <v>26</v>
      </c>
    </row>
    <row r="6" customFormat="false" ht="60" hidden="false" customHeight="true" outlineLevel="0" collapsed="false">
      <c r="A6" s="75" t="s">
        <v>549</v>
      </c>
      <c r="B6" s="76" t="s">
        <v>550</v>
      </c>
      <c r="C6" s="77" t="s">
        <v>28</v>
      </c>
    </row>
    <row r="7" customFormat="false" ht="30" hidden="false" customHeight="true" outlineLevel="0" collapsed="false">
      <c r="A7" s="75" t="s">
        <v>551</v>
      </c>
      <c r="B7" s="76" t="s">
        <v>552</v>
      </c>
      <c r="C7" s="77" t="s">
        <v>28</v>
      </c>
    </row>
    <row r="8" customFormat="false" ht="30" hidden="false" customHeight="true" outlineLevel="0" collapsed="false">
      <c r="A8" s="75" t="s">
        <v>553</v>
      </c>
      <c r="B8" s="76" t="s">
        <v>554</v>
      </c>
      <c r="C8" s="77" t="s">
        <v>30</v>
      </c>
    </row>
    <row r="9" customFormat="false" ht="30" hidden="false" customHeight="true" outlineLevel="0" collapsed="false">
      <c r="A9" s="75" t="s">
        <v>555</v>
      </c>
      <c r="B9" s="76" t="s">
        <v>556</v>
      </c>
      <c r="C9" s="77" t="s">
        <v>28</v>
      </c>
    </row>
    <row r="10" customFormat="false" ht="30" hidden="false" customHeight="true" outlineLevel="0" collapsed="false">
      <c r="A10" s="75" t="s">
        <v>34</v>
      </c>
      <c r="B10" s="76" t="s">
        <v>557</v>
      </c>
      <c r="C10" s="77" t="s">
        <v>34</v>
      </c>
    </row>
    <row r="11" customFormat="false" ht="45" hidden="false" customHeight="true" outlineLevel="0" collapsed="false">
      <c r="A11" s="75" t="s">
        <v>558</v>
      </c>
      <c r="B11" s="76" t="s">
        <v>559</v>
      </c>
      <c r="C11" s="77" t="s">
        <v>20</v>
      </c>
    </row>
    <row r="12" customFormat="false" ht="45" hidden="false" customHeight="true" outlineLevel="0" collapsed="false">
      <c r="A12" s="75" t="s">
        <v>560</v>
      </c>
      <c r="B12" s="76" t="s">
        <v>561</v>
      </c>
      <c r="C12" s="77" t="s">
        <v>562</v>
      </c>
    </row>
    <row r="13" customFormat="false" ht="30" hidden="false" customHeight="true" outlineLevel="0" collapsed="false">
      <c r="A13" s="75" t="s">
        <v>563</v>
      </c>
      <c r="B13" s="76" t="s">
        <v>564</v>
      </c>
      <c r="C13" s="77" t="s">
        <v>32</v>
      </c>
    </row>
    <row r="14" customFormat="false" ht="30" hidden="false" customHeight="true" outlineLevel="0" collapsed="false">
      <c r="A14" s="75" t="s">
        <v>565</v>
      </c>
      <c r="B14" s="76" t="s">
        <v>566</v>
      </c>
      <c r="C14" s="77" t="s">
        <v>562</v>
      </c>
    </row>
  </sheetData>
  <mergeCells count="1">
    <mergeCell ref="A1:C1"/>
  </mergeCells>
  <hyperlinks>
    <hyperlink ref="C4" location="'📺 Dashboard'!A1" display="📺 Dashboard"/>
    <hyperlink ref="C5" location="'📥 Raw_Data'!A1" display="📥 Raw_Data"/>
    <hyperlink ref="C6" location="'🧹 Clean_Data'!A1" display="🧹 Clean_Data"/>
    <hyperlink ref="C7" location="'🧹 Clean_Data'!A1" display="🧹 Clean_Data"/>
    <hyperlink ref="C8" location="'📊 Pivots'!A1" display="📊 Pivots"/>
    <hyperlink ref="C9" location="'🧹 Clean_Data'!A1" display="🧹 Clean_Data"/>
    <hyperlink ref="C10" location="'📈 Charts'!A1" display="📈 Charts"/>
    <hyperlink ref="C11" location="'📺 Dashboard'!A1" display="📺 Dashboard"/>
    <hyperlink ref="C12" location="'🏠 Cover'!A1" display="🏠 Cover"/>
    <hyperlink ref="C13" location="'🧮 Formulas'!A1" display="🧮 Formulas"/>
    <hyperlink ref="C14" location="'🏠 Cover'!A1" display="🏠 Cov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2026-10-16T02:30:31Z</dcterms:created>
  <dc:creator>Disha Thakkar</dc:creator>
  <dc:description/>
  <dc:language>en-US</dc:language>
  <cp:lastModifiedBy/>
  <dcterms:modified xsi:type="dcterms:W3CDTF">2026-10-16T02:30:35Z</dcterms:modified>
  <cp:revision>1</cp:revision>
  <dc:subject/>
  <dc:title>Final Practical Exam - Excel Dashboard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